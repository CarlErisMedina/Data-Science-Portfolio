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Carl\Downloads\"/>
    </mc:Choice>
  </mc:AlternateContent>
  <xr:revisionPtr revIDLastSave="0" documentId="13_ncr:1_{1F7166EF-3DDA-4787-84D3-8F573ED3C267}" xr6:coauthVersionLast="47" xr6:coauthVersionMax="47" xr10:uidLastSave="{00000000-0000-0000-0000-000000000000}"/>
  <bookViews>
    <workbookView xWindow="640" yWindow="0" windowWidth="24370" windowHeight="15280" activeTab="2" xr2:uid="{131F0CC6-C22D-44A0-A4C3-630D5BE1A22B}"/>
  </bookViews>
  <sheets>
    <sheet name="FarmLosses" sheetId="1" r:id="rId1"/>
    <sheet name="PivotTable" sheetId="3" r:id="rId2"/>
    <sheet name="Dashboard" sheetId="2" r:id="rId3"/>
  </sheets>
  <definedNames>
    <definedName name="_xlcn.WorksheetConnection_FarmLossesDashboard.xlsxTable11" hidden="1">Table1[]</definedName>
    <definedName name="Slicer_Year">#N/A</definedName>
  </definedNames>
  <calcPr calcId="0"/>
  <pivotCaches>
    <pivotCache cacheId="382" r:id="rId4"/>
    <pivotCache cacheId="385" r:id="rId5"/>
    <pivotCache cacheId="388" r:id="rId6"/>
    <pivotCache cacheId="391" r:id="rId7"/>
    <pivotCache cacheId="394" r:id="rId8"/>
  </pivotCaches>
  <extLst>
    <ext xmlns:x14="http://schemas.microsoft.com/office/spreadsheetml/2009/9/main" uri="{876F7934-8845-4945-9796-88D515C7AA90}">
      <x14:pivotCaches>
        <pivotCache cacheId="181"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armLosses Dashboard.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EBCF1F-433C-4AE1-9829-DEFD87043F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6359C0-90E2-45DB-A645-7392C05875AA}" name="WorksheetConnection_FarmLosses Dashboard.xlsx!Table1" type="102" refreshedVersion="8" minRefreshableVersion="5">
    <extLst>
      <ext xmlns:x15="http://schemas.microsoft.com/office/spreadsheetml/2010/11/main" uri="{DE250136-89BD-433C-8126-D09CA5730AF9}">
        <x15:connection id="Table1" autoDelete="1">
          <x15:rangePr sourceName="_xlcn.WorksheetConnection_FarmLossesDashboard.xlsxTable11"/>
        </x15:connection>
      </ext>
    </extLst>
  </connection>
</connections>
</file>

<file path=xl/sharedStrings.xml><?xml version="1.0" encoding="utf-8"?>
<sst xmlns="http://schemas.openxmlformats.org/spreadsheetml/2006/main" count="2089" uniqueCount="45">
  <si>
    <t>RecordID</t>
  </si>
  <si>
    <t>Date</t>
  </si>
  <si>
    <t>Barangay</t>
  </si>
  <si>
    <t>FarmType</t>
  </si>
  <si>
    <t>Area_ha</t>
  </si>
  <si>
    <t>YieldLoss_tonnes</t>
  </si>
  <si>
    <t>CropValue_loss_PHP</t>
  </si>
  <si>
    <t>Cause</t>
  </si>
  <si>
    <t>DeclaredStateOfCalamity</t>
  </si>
  <si>
    <t>FarmerCount</t>
  </si>
  <si>
    <t>RecoveryCost_PHP</t>
  </si>
  <si>
    <t>Year</t>
  </si>
  <si>
    <t>Halayhayin</t>
  </si>
  <si>
    <t>Rice – paddy</t>
  </si>
  <si>
    <t>Laguna de Bay backflow</t>
  </si>
  <si>
    <t>No</t>
  </si>
  <si>
    <t>Magsaysay</t>
  </si>
  <si>
    <t>Flooding – river overflow</t>
  </si>
  <si>
    <t>Yes</t>
  </si>
  <si>
    <t>Vegetable – root</t>
  </si>
  <si>
    <t>Bagumbarangay</t>
  </si>
  <si>
    <t>Heavy monsoon rains</t>
  </si>
  <si>
    <t>Flash flood</t>
  </si>
  <si>
    <t>Vegetable – leafy</t>
  </si>
  <si>
    <t>Laguio</t>
  </si>
  <si>
    <t>Corn</t>
  </si>
  <si>
    <t>Drainage failure</t>
  </si>
  <si>
    <t>P. Burgos</t>
  </si>
  <si>
    <t>Mayatba</t>
  </si>
  <si>
    <t>Fruit trees</t>
  </si>
  <si>
    <t>Wawa</t>
  </si>
  <si>
    <t>FARM LOSSES REPORT IN ANUGAL, NAOLINIS (2020-2024)</t>
  </si>
  <si>
    <t>Row Labels</t>
  </si>
  <si>
    <t>Grand Total</t>
  </si>
  <si>
    <t>Sum of FarmerCount</t>
  </si>
  <si>
    <t>Distribution of Farmers Across Barangays</t>
  </si>
  <si>
    <t>Column Labels</t>
  </si>
  <si>
    <t>Count of Cause</t>
  </si>
  <si>
    <t>Five Year Trends of Flood Incidents</t>
  </si>
  <si>
    <t>Sum of RecoveryCost_PHP</t>
  </si>
  <si>
    <t>Annual Recovery Cost According to Barangay</t>
  </si>
  <si>
    <t>Sum of YieldLoss_tonnes</t>
  </si>
  <si>
    <t>Yield Losses (in tons) per Barangay According to Farm Type</t>
  </si>
  <si>
    <t>Sum of CropValue_loss_PHP</t>
  </si>
  <si>
    <t>Distribution of Crop Value Losses by Farm Type According to Barangay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</si>
</sst>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2"/>
      <name val="Aptos Narrow"/>
      <family val="2"/>
      <scheme val="minor"/>
    </font>
    <font>
      <b/>
      <sz val="11"/>
      <color them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33" borderId="0" xfId="0" applyFont="1" applyFill="1"/>
    <xf numFmtId="0" fontId="0" fillId="33" borderId="0" xfId="0" applyFont="1" applyFill="1" applyAlignment="1">
      <alignment horizontal="center"/>
    </xf>
    <xf numFmtId="0" fontId="16" fillId="33"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8"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[FarmLosses_Carl Eris Medina.xlsx]PivotTable!PivotTable1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a:gsLst>
              <a:gs pos="100000">
                <a:schemeClr val="accent2">
                  <a:lumMod val="60000"/>
                  <a:lumOff val="40000"/>
                </a:schemeClr>
              </a:gs>
              <a:gs pos="0">
                <a:schemeClr val="accent2"/>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12"/>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13"/>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pivotFmt>
      <c:pivotFmt>
        <c:idx val="14"/>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pivotFmt>
      <c:pivotFmt>
        <c:idx val="15"/>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pivotFmt>
      <c:pivotFmt>
        <c:idx val="16"/>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pivotFmt>
    </c:pivotFmts>
    <c:plotArea>
      <c:layout/>
      <c:pieChart>
        <c:varyColors val="1"/>
        <c:ser>
          <c:idx val="0"/>
          <c:order val="0"/>
          <c:tx>
            <c:strRef>
              <c:f>PivotTable!$B$3</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3FF4-4A83-9B8D-341656F2ECF1}"/>
              </c:ext>
            </c:extLst>
          </c:dPt>
          <c:dPt>
            <c:idx val="1"/>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3FF4-4A83-9B8D-341656F2ECF1}"/>
              </c:ext>
            </c:extLst>
          </c:dPt>
          <c:dPt>
            <c:idx val="2"/>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5-3FF4-4A83-9B8D-341656F2ECF1}"/>
              </c:ext>
            </c:extLst>
          </c:dPt>
          <c:dPt>
            <c:idx val="3"/>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7-3FF4-4A83-9B8D-341656F2ECF1}"/>
              </c:ext>
            </c:extLst>
          </c:dPt>
          <c:dPt>
            <c:idx val="4"/>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09-3FF4-4A83-9B8D-341656F2ECF1}"/>
              </c:ext>
            </c:extLst>
          </c:dPt>
          <c:dPt>
            <c:idx val="5"/>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0B-3FF4-4A83-9B8D-341656F2ECF1}"/>
              </c:ext>
            </c:extLst>
          </c:dPt>
          <c:dPt>
            <c:idx val="6"/>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0D-3FF4-4A83-9B8D-341656F2EC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PivotTable!$A$4:$A$11</c:f>
              <c:strCache>
                <c:ptCount val="7"/>
                <c:pt idx="0">
                  <c:v>Bagumbarangay</c:v>
                </c:pt>
                <c:pt idx="1">
                  <c:v>Halayhayin</c:v>
                </c:pt>
                <c:pt idx="2">
                  <c:v>Laguio</c:v>
                </c:pt>
                <c:pt idx="3">
                  <c:v>Magsaysay</c:v>
                </c:pt>
                <c:pt idx="4">
                  <c:v>Mayatba</c:v>
                </c:pt>
                <c:pt idx="5">
                  <c:v>P. Burgos</c:v>
                </c:pt>
                <c:pt idx="6">
                  <c:v>Wawa</c:v>
                </c:pt>
              </c:strCache>
            </c:strRef>
          </c:cat>
          <c:val>
            <c:numRef>
              <c:f>PivotTable!$B$4:$B$11</c:f>
              <c:numCache>
                <c:formatCode>0.00%</c:formatCode>
                <c:ptCount val="7"/>
                <c:pt idx="0">
                  <c:v>0.15868809011098228</c:v>
                </c:pt>
                <c:pt idx="1">
                  <c:v>0.1298658273977141</c:v>
                </c:pt>
                <c:pt idx="2">
                  <c:v>0.15015736292860693</c:v>
                </c:pt>
                <c:pt idx="3">
                  <c:v>0.17020043067748883</c:v>
                </c:pt>
                <c:pt idx="4">
                  <c:v>0.1126387278449561</c:v>
                </c:pt>
                <c:pt idx="5">
                  <c:v>0.15438131522279278</c:v>
                </c:pt>
                <c:pt idx="6">
                  <c:v>0.124068245817459</c:v>
                </c:pt>
              </c:numCache>
            </c:numRef>
          </c:val>
          <c:extLst>
            <c:ext xmlns:c16="http://schemas.microsoft.com/office/drawing/2014/chart" uri="{C3380CC4-5D6E-409C-BE32-E72D297353CC}">
              <c16:uniqueId val="{0000000E-3FF4-4A83-9B8D-341656F2ECF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i="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[FarmLosses_Carl Eris Medina.xlsx]PivotTable!PivotTable2</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PivotTable!$E$3:$E$4</c:f>
              <c:strCache>
                <c:ptCount val="1"/>
                <c:pt idx="0">
                  <c:v>2020</c:v>
                </c:pt>
              </c:strCache>
            </c:strRef>
          </c:tx>
          <c:spPr>
            <a:ln w="28575" cap="rnd">
              <a:solidFill>
                <a:schemeClr val="accent1"/>
              </a:solidFill>
              <a:round/>
            </a:ln>
            <a:effectLst/>
          </c:spPr>
          <c:marker>
            <c:symbol val="none"/>
          </c:marker>
          <c:cat>
            <c:strRef>
              <c:f>PivotTable!$D$5:$D$10</c:f>
              <c:strCache>
                <c:ptCount val="5"/>
                <c:pt idx="0">
                  <c:v>Drainage failure</c:v>
                </c:pt>
                <c:pt idx="1">
                  <c:v>Flash flood</c:v>
                </c:pt>
                <c:pt idx="2">
                  <c:v>Flooding – river overflow</c:v>
                </c:pt>
                <c:pt idx="3">
                  <c:v>Heavy monsoon rains</c:v>
                </c:pt>
                <c:pt idx="4">
                  <c:v>Laguna de Bay backflow</c:v>
                </c:pt>
              </c:strCache>
            </c:strRef>
          </c:cat>
          <c:val>
            <c:numRef>
              <c:f>PivotTable!$E$5:$E$10</c:f>
              <c:numCache>
                <c:formatCode>General</c:formatCode>
                <c:ptCount val="5"/>
                <c:pt idx="0">
                  <c:v>22</c:v>
                </c:pt>
                <c:pt idx="1">
                  <c:v>15</c:v>
                </c:pt>
                <c:pt idx="2">
                  <c:v>18</c:v>
                </c:pt>
                <c:pt idx="3">
                  <c:v>21</c:v>
                </c:pt>
                <c:pt idx="4">
                  <c:v>19</c:v>
                </c:pt>
              </c:numCache>
            </c:numRef>
          </c:val>
          <c:smooth val="0"/>
          <c:extLst>
            <c:ext xmlns:c16="http://schemas.microsoft.com/office/drawing/2014/chart" uri="{C3380CC4-5D6E-409C-BE32-E72D297353CC}">
              <c16:uniqueId val="{00000000-31AA-40F9-BC63-B6A4EC6D03AE}"/>
            </c:ext>
          </c:extLst>
        </c:ser>
        <c:ser>
          <c:idx val="1"/>
          <c:order val="1"/>
          <c:tx>
            <c:strRef>
              <c:f>PivotTable!$F$3:$F$4</c:f>
              <c:strCache>
                <c:ptCount val="1"/>
                <c:pt idx="0">
                  <c:v>2021</c:v>
                </c:pt>
              </c:strCache>
            </c:strRef>
          </c:tx>
          <c:spPr>
            <a:ln w="28575" cap="rnd">
              <a:solidFill>
                <a:schemeClr val="accent2"/>
              </a:solidFill>
              <a:round/>
            </a:ln>
            <a:effectLst/>
          </c:spPr>
          <c:marker>
            <c:symbol val="none"/>
          </c:marker>
          <c:cat>
            <c:strRef>
              <c:f>PivotTable!$D$5:$D$10</c:f>
              <c:strCache>
                <c:ptCount val="5"/>
                <c:pt idx="0">
                  <c:v>Drainage failure</c:v>
                </c:pt>
                <c:pt idx="1">
                  <c:v>Flash flood</c:v>
                </c:pt>
                <c:pt idx="2">
                  <c:v>Flooding – river overflow</c:v>
                </c:pt>
                <c:pt idx="3">
                  <c:v>Heavy monsoon rains</c:v>
                </c:pt>
                <c:pt idx="4">
                  <c:v>Laguna de Bay backflow</c:v>
                </c:pt>
              </c:strCache>
            </c:strRef>
          </c:cat>
          <c:val>
            <c:numRef>
              <c:f>PivotTable!$F$5:$F$10</c:f>
              <c:numCache>
                <c:formatCode>General</c:formatCode>
                <c:ptCount val="5"/>
                <c:pt idx="0">
                  <c:v>28</c:v>
                </c:pt>
                <c:pt idx="1">
                  <c:v>21</c:v>
                </c:pt>
                <c:pt idx="2">
                  <c:v>20</c:v>
                </c:pt>
                <c:pt idx="3">
                  <c:v>14</c:v>
                </c:pt>
                <c:pt idx="4">
                  <c:v>23</c:v>
                </c:pt>
              </c:numCache>
            </c:numRef>
          </c:val>
          <c:smooth val="0"/>
          <c:extLst>
            <c:ext xmlns:c16="http://schemas.microsoft.com/office/drawing/2014/chart" uri="{C3380CC4-5D6E-409C-BE32-E72D297353CC}">
              <c16:uniqueId val="{0000000A-31AA-40F9-BC63-B6A4EC6D03AE}"/>
            </c:ext>
          </c:extLst>
        </c:ser>
        <c:ser>
          <c:idx val="2"/>
          <c:order val="2"/>
          <c:tx>
            <c:strRef>
              <c:f>PivotTable!$G$3:$G$4</c:f>
              <c:strCache>
                <c:ptCount val="1"/>
                <c:pt idx="0">
                  <c:v>2022</c:v>
                </c:pt>
              </c:strCache>
            </c:strRef>
          </c:tx>
          <c:spPr>
            <a:ln w="28575" cap="rnd">
              <a:solidFill>
                <a:schemeClr val="accent3"/>
              </a:solidFill>
              <a:round/>
            </a:ln>
            <a:effectLst/>
          </c:spPr>
          <c:marker>
            <c:symbol val="none"/>
          </c:marker>
          <c:cat>
            <c:strRef>
              <c:f>PivotTable!$D$5:$D$10</c:f>
              <c:strCache>
                <c:ptCount val="5"/>
                <c:pt idx="0">
                  <c:v>Drainage failure</c:v>
                </c:pt>
                <c:pt idx="1">
                  <c:v>Flash flood</c:v>
                </c:pt>
                <c:pt idx="2">
                  <c:v>Flooding – river overflow</c:v>
                </c:pt>
                <c:pt idx="3">
                  <c:v>Heavy monsoon rains</c:v>
                </c:pt>
                <c:pt idx="4">
                  <c:v>Laguna de Bay backflow</c:v>
                </c:pt>
              </c:strCache>
            </c:strRef>
          </c:cat>
          <c:val>
            <c:numRef>
              <c:f>PivotTable!$G$5:$G$10</c:f>
              <c:numCache>
                <c:formatCode>General</c:formatCode>
                <c:ptCount val="5"/>
                <c:pt idx="0">
                  <c:v>13</c:v>
                </c:pt>
                <c:pt idx="1">
                  <c:v>16</c:v>
                </c:pt>
                <c:pt idx="2">
                  <c:v>23</c:v>
                </c:pt>
                <c:pt idx="3">
                  <c:v>19</c:v>
                </c:pt>
                <c:pt idx="4">
                  <c:v>14</c:v>
                </c:pt>
              </c:numCache>
            </c:numRef>
          </c:val>
          <c:smooth val="0"/>
          <c:extLst>
            <c:ext xmlns:c16="http://schemas.microsoft.com/office/drawing/2014/chart" uri="{C3380CC4-5D6E-409C-BE32-E72D297353CC}">
              <c16:uniqueId val="{0000000B-31AA-40F9-BC63-B6A4EC6D03AE}"/>
            </c:ext>
          </c:extLst>
        </c:ser>
        <c:ser>
          <c:idx val="3"/>
          <c:order val="3"/>
          <c:tx>
            <c:strRef>
              <c:f>PivotTable!$H$3:$H$4</c:f>
              <c:strCache>
                <c:ptCount val="1"/>
                <c:pt idx="0">
                  <c:v>2023</c:v>
                </c:pt>
              </c:strCache>
            </c:strRef>
          </c:tx>
          <c:spPr>
            <a:ln w="28575" cap="rnd">
              <a:solidFill>
                <a:schemeClr val="accent4"/>
              </a:solidFill>
              <a:round/>
            </a:ln>
            <a:effectLst/>
          </c:spPr>
          <c:marker>
            <c:symbol val="none"/>
          </c:marker>
          <c:cat>
            <c:strRef>
              <c:f>PivotTable!$D$5:$D$10</c:f>
              <c:strCache>
                <c:ptCount val="5"/>
                <c:pt idx="0">
                  <c:v>Drainage failure</c:v>
                </c:pt>
                <c:pt idx="1">
                  <c:v>Flash flood</c:v>
                </c:pt>
                <c:pt idx="2">
                  <c:v>Flooding – river overflow</c:v>
                </c:pt>
                <c:pt idx="3">
                  <c:v>Heavy monsoon rains</c:v>
                </c:pt>
                <c:pt idx="4">
                  <c:v>Laguna de Bay backflow</c:v>
                </c:pt>
              </c:strCache>
            </c:strRef>
          </c:cat>
          <c:val>
            <c:numRef>
              <c:f>PivotTable!$H$5:$H$10</c:f>
              <c:numCache>
                <c:formatCode>General</c:formatCode>
                <c:ptCount val="5"/>
                <c:pt idx="0">
                  <c:v>30</c:v>
                </c:pt>
                <c:pt idx="1">
                  <c:v>18</c:v>
                </c:pt>
                <c:pt idx="2">
                  <c:v>21</c:v>
                </c:pt>
                <c:pt idx="3">
                  <c:v>14</c:v>
                </c:pt>
                <c:pt idx="4">
                  <c:v>23</c:v>
                </c:pt>
              </c:numCache>
            </c:numRef>
          </c:val>
          <c:smooth val="0"/>
          <c:extLst>
            <c:ext xmlns:c16="http://schemas.microsoft.com/office/drawing/2014/chart" uri="{C3380CC4-5D6E-409C-BE32-E72D297353CC}">
              <c16:uniqueId val="{0000000C-31AA-40F9-BC63-B6A4EC6D03AE}"/>
            </c:ext>
          </c:extLst>
        </c:ser>
        <c:ser>
          <c:idx val="4"/>
          <c:order val="4"/>
          <c:tx>
            <c:strRef>
              <c:f>PivotTable!$I$3:$I$4</c:f>
              <c:strCache>
                <c:ptCount val="1"/>
                <c:pt idx="0">
                  <c:v>2024</c:v>
                </c:pt>
              </c:strCache>
            </c:strRef>
          </c:tx>
          <c:spPr>
            <a:ln w="28575" cap="rnd">
              <a:solidFill>
                <a:schemeClr val="accent5"/>
              </a:solidFill>
              <a:round/>
            </a:ln>
            <a:effectLst/>
          </c:spPr>
          <c:marker>
            <c:symbol val="none"/>
          </c:marker>
          <c:cat>
            <c:strRef>
              <c:f>PivotTable!$D$5:$D$10</c:f>
              <c:strCache>
                <c:ptCount val="5"/>
                <c:pt idx="0">
                  <c:v>Drainage failure</c:v>
                </c:pt>
                <c:pt idx="1">
                  <c:v>Flash flood</c:v>
                </c:pt>
                <c:pt idx="2">
                  <c:v>Flooding – river overflow</c:v>
                </c:pt>
                <c:pt idx="3">
                  <c:v>Heavy monsoon rains</c:v>
                </c:pt>
                <c:pt idx="4">
                  <c:v>Laguna de Bay backflow</c:v>
                </c:pt>
              </c:strCache>
            </c:strRef>
          </c:cat>
          <c:val>
            <c:numRef>
              <c:f>PivotTable!$I$5:$I$10</c:f>
              <c:numCache>
                <c:formatCode>General</c:formatCode>
                <c:ptCount val="5"/>
                <c:pt idx="0">
                  <c:v>16</c:v>
                </c:pt>
                <c:pt idx="1">
                  <c:v>21</c:v>
                </c:pt>
                <c:pt idx="2">
                  <c:v>14</c:v>
                </c:pt>
                <c:pt idx="3">
                  <c:v>15</c:v>
                </c:pt>
                <c:pt idx="4">
                  <c:v>42</c:v>
                </c:pt>
              </c:numCache>
            </c:numRef>
          </c:val>
          <c:smooth val="0"/>
          <c:extLst>
            <c:ext xmlns:c16="http://schemas.microsoft.com/office/drawing/2014/chart" uri="{C3380CC4-5D6E-409C-BE32-E72D297353CC}">
              <c16:uniqueId val="{0000000F-31AA-40F9-BC63-B6A4EC6D03AE}"/>
            </c:ext>
          </c:extLst>
        </c:ser>
        <c:dLbls>
          <c:showLegendKey val="0"/>
          <c:showVal val="0"/>
          <c:showCatName val="0"/>
          <c:showSerName val="0"/>
          <c:showPercent val="0"/>
          <c:showBubbleSize val="0"/>
        </c:dLbls>
        <c:smooth val="0"/>
        <c:axId val="1601232336"/>
        <c:axId val="1601232816"/>
      </c:lineChart>
      <c:catAx>
        <c:axId val="160123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1232816"/>
        <c:crosses val="autoZero"/>
        <c:auto val="1"/>
        <c:lblAlgn val="ctr"/>
        <c:lblOffset val="100"/>
        <c:noMultiLvlLbl val="0"/>
      </c:catAx>
      <c:valAx>
        <c:axId val="160123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1232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[FarmLosses_Carl Eris Medina.xlsx]PivotTable!PivotTable3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circ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PivotTable!$B$15:$B$16</c:f>
              <c:strCache>
                <c:ptCount val="1"/>
                <c:pt idx="0">
                  <c:v>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PivotTable!$A$17:$A$24</c:f>
              <c:strCache>
                <c:ptCount val="7"/>
                <c:pt idx="0">
                  <c:v>Bagumbarangay</c:v>
                </c:pt>
                <c:pt idx="1">
                  <c:v>Halayhayin</c:v>
                </c:pt>
                <c:pt idx="2">
                  <c:v>Laguio</c:v>
                </c:pt>
                <c:pt idx="3">
                  <c:v>Magsaysay</c:v>
                </c:pt>
                <c:pt idx="4">
                  <c:v>Mayatba</c:v>
                </c:pt>
                <c:pt idx="5">
                  <c:v>P. Burgos</c:v>
                </c:pt>
                <c:pt idx="6">
                  <c:v>Wawa</c:v>
                </c:pt>
              </c:strCache>
            </c:strRef>
          </c:cat>
          <c:val>
            <c:numRef>
              <c:f>PivotTable!$B$17:$B$24</c:f>
              <c:numCache>
                <c:formatCode>General</c:formatCode>
                <c:ptCount val="7"/>
                <c:pt idx="0">
                  <c:v>1887801</c:v>
                </c:pt>
                <c:pt idx="1">
                  <c:v>2631746</c:v>
                </c:pt>
                <c:pt idx="2">
                  <c:v>1962313</c:v>
                </c:pt>
                <c:pt idx="3">
                  <c:v>1612332</c:v>
                </c:pt>
                <c:pt idx="4">
                  <c:v>1968542</c:v>
                </c:pt>
                <c:pt idx="5">
                  <c:v>2121842</c:v>
                </c:pt>
                <c:pt idx="6">
                  <c:v>2760575</c:v>
                </c:pt>
              </c:numCache>
            </c:numRef>
          </c:val>
          <c:extLst>
            <c:ext xmlns:c16="http://schemas.microsoft.com/office/drawing/2014/chart" uri="{C3380CC4-5D6E-409C-BE32-E72D297353CC}">
              <c16:uniqueId val="{00000000-7535-4127-A56F-B1C39E5F9F5B}"/>
            </c:ext>
          </c:extLst>
        </c:ser>
        <c:ser>
          <c:idx val="1"/>
          <c:order val="1"/>
          <c:tx>
            <c:strRef>
              <c:f>PivotTable!$C$15:$C$16</c:f>
              <c:strCache>
                <c:ptCount val="1"/>
                <c:pt idx="0">
                  <c:v>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c:spPr>
          <c:cat>
            <c:strRef>
              <c:f>PivotTable!$A$17:$A$24</c:f>
              <c:strCache>
                <c:ptCount val="7"/>
                <c:pt idx="0">
                  <c:v>Bagumbarangay</c:v>
                </c:pt>
                <c:pt idx="1">
                  <c:v>Halayhayin</c:v>
                </c:pt>
                <c:pt idx="2">
                  <c:v>Laguio</c:v>
                </c:pt>
                <c:pt idx="3">
                  <c:v>Magsaysay</c:v>
                </c:pt>
                <c:pt idx="4">
                  <c:v>Mayatba</c:v>
                </c:pt>
                <c:pt idx="5">
                  <c:v>P. Burgos</c:v>
                </c:pt>
                <c:pt idx="6">
                  <c:v>Wawa</c:v>
                </c:pt>
              </c:strCache>
            </c:strRef>
          </c:cat>
          <c:val>
            <c:numRef>
              <c:f>PivotTable!$C$17:$C$24</c:f>
              <c:numCache>
                <c:formatCode>General</c:formatCode>
                <c:ptCount val="7"/>
                <c:pt idx="0">
                  <c:v>2421371</c:v>
                </c:pt>
                <c:pt idx="1">
                  <c:v>2243841</c:v>
                </c:pt>
                <c:pt idx="2">
                  <c:v>3336268</c:v>
                </c:pt>
                <c:pt idx="3">
                  <c:v>2152035</c:v>
                </c:pt>
                <c:pt idx="4">
                  <c:v>1849062</c:v>
                </c:pt>
                <c:pt idx="5">
                  <c:v>2461222</c:v>
                </c:pt>
                <c:pt idx="6">
                  <c:v>971434</c:v>
                </c:pt>
              </c:numCache>
            </c:numRef>
          </c:val>
          <c:extLst>
            <c:ext xmlns:c16="http://schemas.microsoft.com/office/drawing/2014/chart" uri="{C3380CC4-5D6E-409C-BE32-E72D297353CC}">
              <c16:uniqueId val="{00000006-7535-4127-A56F-B1C39E5F9F5B}"/>
            </c:ext>
          </c:extLst>
        </c:ser>
        <c:ser>
          <c:idx val="2"/>
          <c:order val="2"/>
          <c:tx>
            <c:strRef>
              <c:f>PivotTable!$D$15:$D$16</c:f>
              <c:strCache>
                <c:ptCount val="1"/>
                <c:pt idx="0">
                  <c:v>2022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c:spPr>
          <c:cat>
            <c:strRef>
              <c:f>PivotTable!$A$17:$A$24</c:f>
              <c:strCache>
                <c:ptCount val="7"/>
                <c:pt idx="0">
                  <c:v>Bagumbarangay</c:v>
                </c:pt>
                <c:pt idx="1">
                  <c:v>Halayhayin</c:v>
                </c:pt>
                <c:pt idx="2">
                  <c:v>Laguio</c:v>
                </c:pt>
                <c:pt idx="3">
                  <c:v>Magsaysay</c:v>
                </c:pt>
                <c:pt idx="4">
                  <c:v>Mayatba</c:v>
                </c:pt>
                <c:pt idx="5">
                  <c:v>P. Burgos</c:v>
                </c:pt>
                <c:pt idx="6">
                  <c:v>Wawa</c:v>
                </c:pt>
              </c:strCache>
            </c:strRef>
          </c:cat>
          <c:val>
            <c:numRef>
              <c:f>PivotTable!$D$17:$D$24</c:f>
              <c:numCache>
                <c:formatCode>General</c:formatCode>
                <c:ptCount val="7"/>
                <c:pt idx="0">
                  <c:v>1679583</c:v>
                </c:pt>
                <c:pt idx="1">
                  <c:v>1891781</c:v>
                </c:pt>
                <c:pt idx="2">
                  <c:v>2368193</c:v>
                </c:pt>
                <c:pt idx="3">
                  <c:v>2195170</c:v>
                </c:pt>
                <c:pt idx="4">
                  <c:v>1158695</c:v>
                </c:pt>
                <c:pt idx="5">
                  <c:v>2115063</c:v>
                </c:pt>
                <c:pt idx="6">
                  <c:v>1307752</c:v>
                </c:pt>
              </c:numCache>
            </c:numRef>
          </c:val>
          <c:extLst>
            <c:ext xmlns:c16="http://schemas.microsoft.com/office/drawing/2014/chart" uri="{C3380CC4-5D6E-409C-BE32-E72D297353CC}">
              <c16:uniqueId val="{00000007-7535-4127-A56F-B1C39E5F9F5B}"/>
            </c:ext>
          </c:extLst>
        </c:ser>
        <c:ser>
          <c:idx val="3"/>
          <c:order val="3"/>
          <c:tx>
            <c:strRef>
              <c:f>PivotTable!$E$15:$E$16</c:f>
              <c:strCache>
                <c:ptCount val="1"/>
                <c:pt idx="0">
                  <c:v>2023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c:spPr>
          <c:cat>
            <c:strRef>
              <c:f>PivotTable!$A$17:$A$24</c:f>
              <c:strCache>
                <c:ptCount val="7"/>
                <c:pt idx="0">
                  <c:v>Bagumbarangay</c:v>
                </c:pt>
                <c:pt idx="1">
                  <c:v>Halayhayin</c:v>
                </c:pt>
                <c:pt idx="2">
                  <c:v>Laguio</c:v>
                </c:pt>
                <c:pt idx="3">
                  <c:v>Magsaysay</c:v>
                </c:pt>
                <c:pt idx="4">
                  <c:v>Mayatba</c:v>
                </c:pt>
                <c:pt idx="5">
                  <c:v>P. Burgos</c:v>
                </c:pt>
                <c:pt idx="6">
                  <c:v>Wawa</c:v>
                </c:pt>
              </c:strCache>
            </c:strRef>
          </c:cat>
          <c:val>
            <c:numRef>
              <c:f>PivotTable!$E$17:$E$24</c:f>
              <c:numCache>
                <c:formatCode>General</c:formatCode>
                <c:ptCount val="7"/>
                <c:pt idx="0">
                  <c:v>2070107</c:v>
                </c:pt>
                <c:pt idx="1">
                  <c:v>3173505</c:v>
                </c:pt>
                <c:pt idx="2">
                  <c:v>1501230</c:v>
                </c:pt>
                <c:pt idx="3">
                  <c:v>4192200</c:v>
                </c:pt>
                <c:pt idx="4">
                  <c:v>1518301</c:v>
                </c:pt>
                <c:pt idx="5">
                  <c:v>2921085</c:v>
                </c:pt>
                <c:pt idx="6">
                  <c:v>1648608</c:v>
                </c:pt>
              </c:numCache>
            </c:numRef>
          </c:val>
          <c:extLst>
            <c:ext xmlns:c16="http://schemas.microsoft.com/office/drawing/2014/chart" uri="{C3380CC4-5D6E-409C-BE32-E72D297353CC}">
              <c16:uniqueId val="{00000008-7535-4127-A56F-B1C39E5F9F5B}"/>
            </c:ext>
          </c:extLst>
        </c:ser>
        <c:ser>
          <c:idx val="4"/>
          <c:order val="4"/>
          <c:tx>
            <c:strRef>
              <c:f>PivotTable!$F$15:$F$16</c:f>
              <c:strCache>
                <c:ptCount val="1"/>
                <c:pt idx="0">
                  <c:v>2024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c:spPr>
          <c:cat>
            <c:strRef>
              <c:f>PivotTable!$A$17:$A$24</c:f>
              <c:strCache>
                <c:ptCount val="7"/>
                <c:pt idx="0">
                  <c:v>Bagumbarangay</c:v>
                </c:pt>
                <c:pt idx="1">
                  <c:v>Halayhayin</c:v>
                </c:pt>
                <c:pt idx="2">
                  <c:v>Laguio</c:v>
                </c:pt>
                <c:pt idx="3">
                  <c:v>Magsaysay</c:v>
                </c:pt>
                <c:pt idx="4">
                  <c:v>Mayatba</c:v>
                </c:pt>
                <c:pt idx="5">
                  <c:v>P. Burgos</c:v>
                </c:pt>
                <c:pt idx="6">
                  <c:v>Wawa</c:v>
                </c:pt>
              </c:strCache>
            </c:strRef>
          </c:cat>
          <c:val>
            <c:numRef>
              <c:f>PivotTable!$F$17:$F$24</c:f>
              <c:numCache>
                <c:formatCode>General</c:formatCode>
                <c:ptCount val="7"/>
                <c:pt idx="0">
                  <c:v>3009208</c:v>
                </c:pt>
                <c:pt idx="1">
                  <c:v>2042499</c:v>
                </c:pt>
                <c:pt idx="2">
                  <c:v>3005188</c:v>
                </c:pt>
                <c:pt idx="3">
                  <c:v>3332796</c:v>
                </c:pt>
                <c:pt idx="4">
                  <c:v>2167259</c:v>
                </c:pt>
                <c:pt idx="5">
                  <c:v>2164207</c:v>
                </c:pt>
                <c:pt idx="6">
                  <c:v>880822</c:v>
                </c:pt>
              </c:numCache>
            </c:numRef>
          </c:val>
          <c:extLst>
            <c:ext xmlns:c16="http://schemas.microsoft.com/office/drawing/2014/chart" uri="{C3380CC4-5D6E-409C-BE32-E72D297353CC}">
              <c16:uniqueId val="{0000000B-7535-4127-A56F-B1C39E5F9F5B}"/>
            </c:ext>
          </c:extLst>
        </c:ser>
        <c:dLbls>
          <c:showLegendKey val="0"/>
          <c:showVal val="0"/>
          <c:showCatName val="0"/>
          <c:showSerName val="0"/>
          <c:showPercent val="0"/>
          <c:showBubbleSize val="0"/>
        </c:dLbls>
        <c:axId val="121378608"/>
        <c:axId val="121380048"/>
      </c:areaChart>
      <c:catAx>
        <c:axId val="1213786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380048"/>
        <c:crosses val="autoZero"/>
        <c:auto val="1"/>
        <c:lblAlgn val="ctr"/>
        <c:lblOffset val="100"/>
        <c:noMultiLvlLbl val="0"/>
      </c:catAx>
      <c:valAx>
        <c:axId val="12138004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378608"/>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[FarmLosses_Carl Eris Medina.xlsx]PivotTable!PivotTable4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PivotTable!$B$28:$B$29</c:f>
              <c:strCache>
                <c:ptCount val="1"/>
                <c:pt idx="0">
                  <c:v>Corn</c:v>
                </c:pt>
              </c:strCache>
            </c:strRef>
          </c:tx>
          <c:spPr>
            <a:solidFill>
              <a:schemeClr val="accent1"/>
            </a:solidFill>
            <a:ln>
              <a:noFill/>
            </a:ln>
            <a:effectLst/>
          </c:spPr>
          <c:invertIfNegative val="0"/>
          <c:cat>
            <c:strRef>
              <c:f>PivotTable!$A$30:$A$37</c:f>
              <c:strCache>
                <c:ptCount val="7"/>
                <c:pt idx="0">
                  <c:v>Bagumbarangay</c:v>
                </c:pt>
                <c:pt idx="1">
                  <c:v>Halayhayin</c:v>
                </c:pt>
                <c:pt idx="2">
                  <c:v>Laguio</c:v>
                </c:pt>
                <c:pt idx="3">
                  <c:v>Magsaysay</c:v>
                </c:pt>
                <c:pt idx="4">
                  <c:v>Mayatba</c:v>
                </c:pt>
                <c:pt idx="5">
                  <c:v>P. Burgos</c:v>
                </c:pt>
                <c:pt idx="6">
                  <c:v>Wawa</c:v>
                </c:pt>
              </c:strCache>
            </c:strRef>
          </c:cat>
          <c:val>
            <c:numRef>
              <c:f>PivotTable!$B$30:$B$37</c:f>
              <c:numCache>
                <c:formatCode>General</c:formatCode>
                <c:ptCount val="7"/>
                <c:pt idx="0">
                  <c:v>58.22</c:v>
                </c:pt>
                <c:pt idx="1">
                  <c:v>77.680000000000007</c:v>
                </c:pt>
                <c:pt idx="2">
                  <c:v>114.84</c:v>
                </c:pt>
                <c:pt idx="3">
                  <c:v>65.13</c:v>
                </c:pt>
                <c:pt idx="4">
                  <c:v>64.23</c:v>
                </c:pt>
                <c:pt idx="5">
                  <c:v>74.010000000000005</c:v>
                </c:pt>
                <c:pt idx="6">
                  <c:v>31.67</c:v>
                </c:pt>
              </c:numCache>
            </c:numRef>
          </c:val>
          <c:extLst>
            <c:ext xmlns:c16="http://schemas.microsoft.com/office/drawing/2014/chart" uri="{C3380CC4-5D6E-409C-BE32-E72D297353CC}">
              <c16:uniqueId val="{00000000-3804-466F-A569-13B3F6A4F259}"/>
            </c:ext>
          </c:extLst>
        </c:ser>
        <c:ser>
          <c:idx val="1"/>
          <c:order val="1"/>
          <c:tx>
            <c:strRef>
              <c:f>PivotTable!$C$28:$C$29</c:f>
              <c:strCache>
                <c:ptCount val="1"/>
                <c:pt idx="0">
                  <c:v>Fruit trees</c:v>
                </c:pt>
              </c:strCache>
            </c:strRef>
          </c:tx>
          <c:spPr>
            <a:solidFill>
              <a:schemeClr val="accent2"/>
            </a:solidFill>
            <a:ln>
              <a:noFill/>
            </a:ln>
            <a:effectLst/>
          </c:spPr>
          <c:invertIfNegative val="0"/>
          <c:cat>
            <c:strRef>
              <c:f>PivotTable!$A$30:$A$37</c:f>
              <c:strCache>
                <c:ptCount val="7"/>
                <c:pt idx="0">
                  <c:v>Bagumbarangay</c:v>
                </c:pt>
                <c:pt idx="1">
                  <c:v>Halayhayin</c:v>
                </c:pt>
                <c:pt idx="2">
                  <c:v>Laguio</c:v>
                </c:pt>
                <c:pt idx="3">
                  <c:v>Magsaysay</c:v>
                </c:pt>
                <c:pt idx="4">
                  <c:v>Mayatba</c:v>
                </c:pt>
                <c:pt idx="5">
                  <c:v>P. Burgos</c:v>
                </c:pt>
                <c:pt idx="6">
                  <c:v>Wawa</c:v>
                </c:pt>
              </c:strCache>
            </c:strRef>
          </c:cat>
          <c:val>
            <c:numRef>
              <c:f>PivotTable!$C$30:$C$37</c:f>
              <c:numCache>
                <c:formatCode>General</c:formatCode>
                <c:ptCount val="7"/>
                <c:pt idx="0">
                  <c:v>66.34</c:v>
                </c:pt>
                <c:pt idx="1">
                  <c:v>72.510000000000005</c:v>
                </c:pt>
                <c:pt idx="2">
                  <c:v>42.59</c:v>
                </c:pt>
                <c:pt idx="3">
                  <c:v>112.6</c:v>
                </c:pt>
                <c:pt idx="4">
                  <c:v>50.58</c:v>
                </c:pt>
                <c:pt idx="5">
                  <c:v>103.72</c:v>
                </c:pt>
                <c:pt idx="6">
                  <c:v>67.650000000000006</c:v>
                </c:pt>
              </c:numCache>
            </c:numRef>
          </c:val>
          <c:extLst>
            <c:ext xmlns:c16="http://schemas.microsoft.com/office/drawing/2014/chart" uri="{C3380CC4-5D6E-409C-BE32-E72D297353CC}">
              <c16:uniqueId val="{00000001-3804-466F-A569-13B3F6A4F259}"/>
            </c:ext>
          </c:extLst>
        </c:ser>
        <c:ser>
          <c:idx val="2"/>
          <c:order val="2"/>
          <c:tx>
            <c:strRef>
              <c:f>PivotTable!$D$28:$D$29</c:f>
              <c:strCache>
                <c:ptCount val="1"/>
                <c:pt idx="0">
                  <c:v>Rice – paddy</c:v>
                </c:pt>
              </c:strCache>
            </c:strRef>
          </c:tx>
          <c:spPr>
            <a:solidFill>
              <a:schemeClr val="accent3"/>
            </a:solidFill>
            <a:ln>
              <a:noFill/>
            </a:ln>
            <a:effectLst/>
          </c:spPr>
          <c:invertIfNegative val="0"/>
          <c:cat>
            <c:strRef>
              <c:f>PivotTable!$A$30:$A$37</c:f>
              <c:strCache>
                <c:ptCount val="7"/>
                <c:pt idx="0">
                  <c:v>Bagumbarangay</c:v>
                </c:pt>
                <c:pt idx="1">
                  <c:v>Halayhayin</c:v>
                </c:pt>
                <c:pt idx="2">
                  <c:v>Laguio</c:v>
                </c:pt>
                <c:pt idx="3">
                  <c:v>Magsaysay</c:v>
                </c:pt>
                <c:pt idx="4">
                  <c:v>Mayatba</c:v>
                </c:pt>
                <c:pt idx="5">
                  <c:v>P. Burgos</c:v>
                </c:pt>
                <c:pt idx="6">
                  <c:v>Wawa</c:v>
                </c:pt>
              </c:strCache>
            </c:strRef>
          </c:cat>
          <c:val>
            <c:numRef>
              <c:f>PivotTable!$D$30:$D$37</c:f>
              <c:numCache>
                <c:formatCode>General</c:formatCode>
                <c:ptCount val="7"/>
                <c:pt idx="0">
                  <c:v>107.29</c:v>
                </c:pt>
                <c:pt idx="1">
                  <c:v>59.89</c:v>
                </c:pt>
                <c:pt idx="2">
                  <c:v>77.61</c:v>
                </c:pt>
                <c:pt idx="3">
                  <c:v>146.54</c:v>
                </c:pt>
                <c:pt idx="4">
                  <c:v>34.93</c:v>
                </c:pt>
                <c:pt idx="5">
                  <c:v>81.260000000000005</c:v>
                </c:pt>
                <c:pt idx="6">
                  <c:v>38.24</c:v>
                </c:pt>
              </c:numCache>
            </c:numRef>
          </c:val>
          <c:extLst>
            <c:ext xmlns:c16="http://schemas.microsoft.com/office/drawing/2014/chart" uri="{C3380CC4-5D6E-409C-BE32-E72D297353CC}">
              <c16:uniqueId val="{00000002-3804-466F-A569-13B3F6A4F259}"/>
            </c:ext>
          </c:extLst>
        </c:ser>
        <c:ser>
          <c:idx val="3"/>
          <c:order val="3"/>
          <c:tx>
            <c:strRef>
              <c:f>PivotTable!$E$28:$E$29</c:f>
              <c:strCache>
                <c:ptCount val="1"/>
                <c:pt idx="0">
                  <c:v>Vegetable – leafy</c:v>
                </c:pt>
              </c:strCache>
            </c:strRef>
          </c:tx>
          <c:spPr>
            <a:solidFill>
              <a:schemeClr val="accent4"/>
            </a:solidFill>
            <a:ln>
              <a:noFill/>
            </a:ln>
            <a:effectLst/>
          </c:spPr>
          <c:invertIfNegative val="0"/>
          <c:cat>
            <c:strRef>
              <c:f>PivotTable!$A$30:$A$37</c:f>
              <c:strCache>
                <c:ptCount val="7"/>
                <c:pt idx="0">
                  <c:v>Bagumbarangay</c:v>
                </c:pt>
                <c:pt idx="1">
                  <c:v>Halayhayin</c:v>
                </c:pt>
                <c:pt idx="2">
                  <c:v>Laguio</c:v>
                </c:pt>
                <c:pt idx="3">
                  <c:v>Magsaysay</c:v>
                </c:pt>
                <c:pt idx="4">
                  <c:v>Mayatba</c:v>
                </c:pt>
                <c:pt idx="5">
                  <c:v>P. Burgos</c:v>
                </c:pt>
                <c:pt idx="6">
                  <c:v>Wawa</c:v>
                </c:pt>
              </c:strCache>
            </c:strRef>
          </c:cat>
          <c:val>
            <c:numRef>
              <c:f>PivotTable!$E$30:$E$37</c:f>
              <c:numCache>
                <c:formatCode>General</c:formatCode>
                <c:ptCount val="7"/>
                <c:pt idx="0">
                  <c:v>68.239999999999995</c:v>
                </c:pt>
                <c:pt idx="1">
                  <c:v>78.319999999999993</c:v>
                </c:pt>
                <c:pt idx="2">
                  <c:v>86.37</c:v>
                </c:pt>
                <c:pt idx="3">
                  <c:v>73.819999999999993</c:v>
                </c:pt>
                <c:pt idx="4">
                  <c:v>79.5</c:v>
                </c:pt>
                <c:pt idx="5">
                  <c:v>75.97</c:v>
                </c:pt>
                <c:pt idx="6">
                  <c:v>77.84</c:v>
                </c:pt>
              </c:numCache>
            </c:numRef>
          </c:val>
          <c:extLst>
            <c:ext xmlns:c16="http://schemas.microsoft.com/office/drawing/2014/chart" uri="{C3380CC4-5D6E-409C-BE32-E72D297353CC}">
              <c16:uniqueId val="{00000003-3804-466F-A569-13B3F6A4F259}"/>
            </c:ext>
          </c:extLst>
        </c:ser>
        <c:ser>
          <c:idx val="4"/>
          <c:order val="4"/>
          <c:tx>
            <c:strRef>
              <c:f>PivotTable!$F$28:$F$29</c:f>
              <c:strCache>
                <c:ptCount val="1"/>
                <c:pt idx="0">
                  <c:v>Vegetable – root</c:v>
                </c:pt>
              </c:strCache>
            </c:strRef>
          </c:tx>
          <c:spPr>
            <a:solidFill>
              <a:schemeClr val="accent5"/>
            </a:solidFill>
            <a:ln>
              <a:noFill/>
            </a:ln>
            <a:effectLst/>
          </c:spPr>
          <c:invertIfNegative val="0"/>
          <c:cat>
            <c:strRef>
              <c:f>PivotTable!$A$30:$A$37</c:f>
              <c:strCache>
                <c:ptCount val="7"/>
                <c:pt idx="0">
                  <c:v>Bagumbarangay</c:v>
                </c:pt>
                <c:pt idx="1">
                  <c:v>Halayhayin</c:v>
                </c:pt>
                <c:pt idx="2">
                  <c:v>Laguio</c:v>
                </c:pt>
                <c:pt idx="3">
                  <c:v>Magsaysay</c:v>
                </c:pt>
                <c:pt idx="4">
                  <c:v>Mayatba</c:v>
                </c:pt>
                <c:pt idx="5">
                  <c:v>P. Burgos</c:v>
                </c:pt>
                <c:pt idx="6">
                  <c:v>Wawa</c:v>
                </c:pt>
              </c:strCache>
            </c:strRef>
          </c:cat>
          <c:val>
            <c:numRef>
              <c:f>PivotTable!$F$30:$F$37</c:f>
              <c:numCache>
                <c:formatCode>General</c:formatCode>
                <c:ptCount val="7"/>
                <c:pt idx="0">
                  <c:v>44</c:v>
                </c:pt>
                <c:pt idx="1">
                  <c:v>87.95</c:v>
                </c:pt>
                <c:pt idx="2">
                  <c:v>73.430000000000007</c:v>
                </c:pt>
                <c:pt idx="3">
                  <c:v>45.18</c:v>
                </c:pt>
                <c:pt idx="4">
                  <c:v>48.69</c:v>
                </c:pt>
                <c:pt idx="5">
                  <c:v>67.05</c:v>
                </c:pt>
                <c:pt idx="6">
                  <c:v>94.36</c:v>
                </c:pt>
              </c:numCache>
            </c:numRef>
          </c:val>
          <c:extLst>
            <c:ext xmlns:c16="http://schemas.microsoft.com/office/drawing/2014/chart" uri="{C3380CC4-5D6E-409C-BE32-E72D297353CC}">
              <c16:uniqueId val="{00000004-3804-466F-A569-13B3F6A4F259}"/>
            </c:ext>
          </c:extLst>
        </c:ser>
        <c:dLbls>
          <c:showLegendKey val="0"/>
          <c:showVal val="0"/>
          <c:showCatName val="0"/>
          <c:showSerName val="0"/>
          <c:showPercent val="0"/>
          <c:showBubbleSize val="0"/>
        </c:dLbls>
        <c:gapWidth val="150"/>
        <c:overlap val="100"/>
        <c:axId val="199227104"/>
        <c:axId val="199222304"/>
      </c:barChart>
      <c:catAx>
        <c:axId val="19922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9222304"/>
        <c:crosses val="autoZero"/>
        <c:auto val="1"/>
        <c:lblAlgn val="ctr"/>
        <c:lblOffset val="100"/>
        <c:noMultiLvlLbl val="0"/>
      </c:catAx>
      <c:valAx>
        <c:axId val="19922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922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[FarmLosses_Carl Eris Medina.xlsx]PivotTable!PivotTable5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PivotTable!$B$41:$B$42</c:f>
              <c:strCache>
                <c:ptCount val="1"/>
                <c:pt idx="0">
                  <c:v>Corn</c:v>
                </c:pt>
              </c:strCache>
            </c:strRef>
          </c:tx>
          <c:spPr>
            <a:solidFill>
              <a:schemeClr val="accent1"/>
            </a:solidFill>
            <a:ln>
              <a:noFill/>
            </a:ln>
            <a:effectLst/>
          </c:spPr>
          <c:invertIfNegative val="0"/>
          <c:cat>
            <c:strRef>
              <c:f>PivotTable!$A$43:$A$50</c:f>
              <c:strCache>
                <c:ptCount val="7"/>
                <c:pt idx="0">
                  <c:v>Bagumbarangay</c:v>
                </c:pt>
                <c:pt idx="1">
                  <c:v>Halayhayin</c:v>
                </c:pt>
                <c:pt idx="2">
                  <c:v>Laguio</c:v>
                </c:pt>
                <c:pt idx="3">
                  <c:v>Magsaysay</c:v>
                </c:pt>
                <c:pt idx="4">
                  <c:v>Mayatba</c:v>
                </c:pt>
                <c:pt idx="5">
                  <c:v>P. Burgos</c:v>
                </c:pt>
                <c:pt idx="6">
                  <c:v>Wawa</c:v>
                </c:pt>
              </c:strCache>
            </c:strRef>
          </c:cat>
          <c:val>
            <c:numRef>
              <c:f>PivotTable!$B$43:$B$50</c:f>
              <c:numCache>
                <c:formatCode>General</c:formatCode>
                <c:ptCount val="7"/>
                <c:pt idx="0">
                  <c:v>6893310</c:v>
                </c:pt>
                <c:pt idx="1">
                  <c:v>8323345</c:v>
                </c:pt>
                <c:pt idx="2">
                  <c:v>10189208</c:v>
                </c:pt>
                <c:pt idx="3">
                  <c:v>5305181</c:v>
                </c:pt>
                <c:pt idx="4">
                  <c:v>5638249</c:v>
                </c:pt>
                <c:pt idx="5">
                  <c:v>7503139</c:v>
                </c:pt>
                <c:pt idx="6">
                  <c:v>3064638</c:v>
                </c:pt>
              </c:numCache>
            </c:numRef>
          </c:val>
          <c:extLst>
            <c:ext xmlns:c16="http://schemas.microsoft.com/office/drawing/2014/chart" uri="{C3380CC4-5D6E-409C-BE32-E72D297353CC}">
              <c16:uniqueId val="{00000000-0CFD-4AE4-B25B-4E60ACFC3183}"/>
            </c:ext>
          </c:extLst>
        </c:ser>
        <c:ser>
          <c:idx val="1"/>
          <c:order val="1"/>
          <c:tx>
            <c:strRef>
              <c:f>PivotTable!$C$41:$C$42</c:f>
              <c:strCache>
                <c:ptCount val="1"/>
                <c:pt idx="0">
                  <c:v>Fruit trees</c:v>
                </c:pt>
              </c:strCache>
            </c:strRef>
          </c:tx>
          <c:spPr>
            <a:solidFill>
              <a:schemeClr val="accent2"/>
            </a:solidFill>
            <a:ln>
              <a:noFill/>
            </a:ln>
            <a:effectLst/>
          </c:spPr>
          <c:invertIfNegative val="0"/>
          <c:cat>
            <c:strRef>
              <c:f>PivotTable!$A$43:$A$50</c:f>
              <c:strCache>
                <c:ptCount val="7"/>
                <c:pt idx="0">
                  <c:v>Bagumbarangay</c:v>
                </c:pt>
                <c:pt idx="1">
                  <c:v>Halayhayin</c:v>
                </c:pt>
                <c:pt idx="2">
                  <c:v>Laguio</c:v>
                </c:pt>
                <c:pt idx="3">
                  <c:v>Magsaysay</c:v>
                </c:pt>
                <c:pt idx="4">
                  <c:v>Mayatba</c:v>
                </c:pt>
                <c:pt idx="5">
                  <c:v>P. Burgos</c:v>
                </c:pt>
                <c:pt idx="6">
                  <c:v>Wawa</c:v>
                </c:pt>
              </c:strCache>
            </c:strRef>
          </c:cat>
          <c:val>
            <c:numRef>
              <c:f>PivotTable!$C$43:$C$50</c:f>
              <c:numCache>
                <c:formatCode>General</c:formatCode>
                <c:ptCount val="7"/>
                <c:pt idx="0">
                  <c:v>8272982</c:v>
                </c:pt>
                <c:pt idx="1">
                  <c:v>7043869</c:v>
                </c:pt>
                <c:pt idx="2">
                  <c:v>5782270</c:v>
                </c:pt>
                <c:pt idx="3">
                  <c:v>11793651</c:v>
                </c:pt>
                <c:pt idx="4">
                  <c:v>4416710</c:v>
                </c:pt>
                <c:pt idx="5">
                  <c:v>10413819</c:v>
                </c:pt>
                <c:pt idx="6">
                  <c:v>8332945</c:v>
                </c:pt>
              </c:numCache>
            </c:numRef>
          </c:val>
          <c:extLst>
            <c:ext xmlns:c16="http://schemas.microsoft.com/office/drawing/2014/chart" uri="{C3380CC4-5D6E-409C-BE32-E72D297353CC}">
              <c16:uniqueId val="{00000001-0CFD-4AE4-B25B-4E60ACFC3183}"/>
            </c:ext>
          </c:extLst>
        </c:ser>
        <c:ser>
          <c:idx val="2"/>
          <c:order val="2"/>
          <c:tx>
            <c:strRef>
              <c:f>PivotTable!$D$41:$D$42</c:f>
              <c:strCache>
                <c:ptCount val="1"/>
                <c:pt idx="0">
                  <c:v>Rice – paddy</c:v>
                </c:pt>
              </c:strCache>
            </c:strRef>
          </c:tx>
          <c:spPr>
            <a:solidFill>
              <a:schemeClr val="accent3"/>
            </a:solidFill>
            <a:ln>
              <a:noFill/>
            </a:ln>
            <a:effectLst/>
          </c:spPr>
          <c:invertIfNegative val="0"/>
          <c:cat>
            <c:strRef>
              <c:f>PivotTable!$A$43:$A$50</c:f>
              <c:strCache>
                <c:ptCount val="7"/>
                <c:pt idx="0">
                  <c:v>Bagumbarangay</c:v>
                </c:pt>
                <c:pt idx="1">
                  <c:v>Halayhayin</c:v>
                </c:pt>
                <c:pt idx="2">
                  <c:v>Laguio</c:v>
                </c:pt>
                <c:pt idx="3">
                  <c:v>Magsaysay</c:v>
                </c:pt>
                <c:pt idx="4">
                  <c:v>Mayatba</c:v>
                </c:pt>
                <c:pt idx="5">
                  <c:v>P. Burgos</c:v>
                </c:pt>
                <c:pt idx="6">
                  <c:v>Wawa</c:v>
                </c:pt>
              </c:strCache>
            </c:strRef>
          </c:cat>
          <c:val>
            <c:numRef>
              <c:f>PivotTable!$D$43:$D$50</c:f>
              <c:numCache>
                <c:formatCode>General</c:formatCode>
                <c:ptCount val="7"/>
                <c:pt idx="0">
                  <c:v>12819859</c:v>
                </c:pt>
                <c:pt idx="1">
                  <c:v>7338793</c:v>
                </c:pt>
                <c:pt idx="2">
                  <c:v>9130123</c:v>
                </c:pt>
                <c:pt idx="3">
                  <c:v>13956615</c:v>
                </c:pt>
                <c:pt idx="4">
                  <c:v>2773144</c:v>
                </c:pt>
                <c:pt idx="5">
                  <c:v>9653246</c:v>
                </c:pt>
                <c:pt idx="6">
                  <c:v>3101169</c:v>
                </c:pt>
              </c:numCache>
            </c:numRef>
          </c:val>
          <c:extLst>
            <c:ext xmlns:c16="http://schemas.microsoft.com/office/drawing/2014/chart" uri="{C3380CC4-5D6E-409C-BE32-E72D297353CC}">
              <c16:uniqueId val="{00000002-0CFD-4AE4-B25B-4E60ACFC3183}"/>
            </c:ext>
          </c:extLst>
        </c:ser>
        <c:ser>
          <c:idx val="3"/>
          <c:order val="3"/>
          <c:tx>
            <c:strRef>
              <c:f>PivotTable!$E$41:$E$42</c:f>
              <c:strCache>
                <c:ptCount val="1"/>
                <c:pt idx="0">
                  <c:v>Vegetable – leafy</c:v>
                </c:pt>
              </c:strCache>
            </c:strRef>
          </c:tx>
          <c:spPr>
            <a:solidFill>
              <a:schemeClr val="accent4"/>
            </a:solidFill>
            <a:ln>
              <a:noFill/>
            </a:ln>
            <a:effectLst/>
          </c:spPr>
          <c:invertIfNegative val="0"/>
          <c:cat>
            <c:strRef>
              <c:f>PivotTable!$A$43:$A$50</c:f>
              <c:strCache>
                <c:ptCount val="7"/>
                <c:pt idx="0">
                  <c:v>Bagumbarangay</c:v>
                </c:pt>
                <c:pt idx="1">
                  <c:v>Halayhayin</c:v>
                </c:pt>
                <c:pt idx="2">
                  <c:v>Laguio</c:v>
                </c:pt>
                <c:pt idx="3">
                  <c:v>Magsaysay</c:v>
                </c:pt>
                <c:pt idx="4">
                  <c:v>Mayatba</c:v>
                </c:pt>
                <c:pt idx="5">
                  <c:v>P. Burgos</c:v>
                </c:pt>
                <c:pt idx="6">
                  <c:v>Wawa</c:v>
                </c:pt>
              </c:strCache>
            </c:strRef>
          </c:cat>
          <c:val>
            <c:numRef>
              <c:f>PivotTable!$E$43:$E$50</c:f>
              <c:numCache>
                <c:formatCode>General</c:formatCode>
                <c:ptCount val="7"/>
                <c:pt idx="0">
                  <c:v>6273596</c:v>
                </c:pt>
                <c:pt idx="1">
                  <c:v>8052945</c:v>
                </c:pt>
                <c:pt idx="2">
                  <c:v>8935105</c:v>
                </c:pt>
                <c:pt idx="3">
                  <c:v>6391732</c:v>
                </c:pt>
                <c:pt idx="4">
                  <c:v>10703331</c:v>
                </c:pt>
                <c:pt idx="5">
                  <c:v>6572756</c:v>
                </c:pt>
                <c:pt idx="6">
                  <c:v>6943001</c:v>
                </c:pt>
              </c:numCache>
            </c:numRef>
          </c:val>
          <c:extLst>
            <c:ext xmlns:c16="http://schemas.microsoft.com/office/drawing/2014/chart" uri="{C3380CC4-5D6E-409C-BE32-E72D297353CC}">
              <c16:uniqueId val="{00000003-0CFD-4AE4-B25B-4E60ACFC3183}"/>
            </c:ext>
          </c:extLst>
        </c:ser>
        <c:ser>
          <c:idx val="4"/>
          <c:order val="4"/>
          <c:tx>
            <c:strRef>
              <c:f>PivotTable!$F$41:$F$42</c:f>
              <c:strCache>
                <c:ptCount val="1"/>
                <c:pt idx="0">
                  <c:v>Vegetable – root</c:v>
                </c:pt>
              </c:strCache>
            </c:strRef>
          </c:tx>
          <c:spPr>
            <a:solidFill>
              <a:schemeClr val="accent5"/>
            </a:solidFill>
            <a:ln>
              <a:noFill/>
            </a:ln>
            <a:effectLst/>
          </c:spPr>
          <c:invertIfNegative val="0"/>
          <c:cat>
            <c:strRef>
              <c:f>PivotTable!$A$43:$A$50</c:f>
              <c:strCache>
                <c:ptCount val="7"/>
                <c:pt idx="0">
                  <c:v>Bagumbarangay</c:v>
                </c:pt>
                <c:pt idx="1">
                  <c:v>Halayhayin</c:v>
                </c:pt>
                <c:pt idx="2">
                  <c:v>Laguio</c:v>
                </c:pt>
                <c:pt idx="3">
                  <c:v>Magsaysay</c:v>
                </c:pt>
                <c:pt idx="4">
                  <c:v>Mayatba</c:v>
                </c:pt>
                <c:pt idx="5">
                  <c:v>P. Burgos</c:v>
                </c:pt>
                <c:pt idx="6">
                  <c:v>Wawa</c:v>
                </c:pt>
              </c:strCache>
            </c:strRef>
          </c:cat>
          <c:val>
            <c:numRef>
              <c:f>PivotTable!$F$43:$F$50</c:f>
              <c:numCache>
                <c:formatCode>General</c:formatCode>
                <c:ptCount val="7"/>
                <c:pt idx="0">
                  <c:v>6456349</c:v>
                </c:pt>
                <c:pt idx="1">
                  <c:v>9414193</c:v>
                </c:pt>
                <c:pt idx="2">
                  <c:v>8959200</c:v>
                </c:pt>
                <c:pt idx="3">
                  <c:v>5072532</c:v>
                </c:pt>
                <c:pt idx="4">
                  <c:v>5641573</c:v>
                </c:pt>
                <c:pt idx="5">
                  <c:v>5427205</c:v>
                </c:pt>
                <c:pt idx="6">
                  <c:v>6499497</c:v>
                </c:pt>
              </c:numCache>
            </c:numRef>
          </c:val>
          <c:extLst>
            <c:ext xmlns:c16="http://schemas.microsoft.com/office/drawing/2014/chart" uri="{C3380CC4-5D6E-409C-BE32-E72D297353CC}">
              <c16:uniqueId val="{00000004-0CFD-4AE4-B25B-4E60ACFC3183}"/>
            </c:ext>
          </c:extLst>
        </c:ser>
        <c:dLbls>
          <c:showLegendKey val="0"/>
          <c:showVal val="0"/>
          <c:showCatName val="0"/>
          <c:showSerName val="0"/>
          <c:showPercent val="0"/>
          <c:showBubbleSize val="0"/>
        </c:dLbls>
        <c:gapWidth val="219"/>
        <c:overlap val="-27"/>
        <c:axId val="199245824"/>
        <c:axId val="199246304"/>
      </c:barChart>
      <c:catAx>
        <c:axId val="19924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9246304"/>
        <c:crosses val="autoZero"/>
        <c:auto val="1"/>
        <c:lblAlgn val="ctr"/>
        <c:lblOffset val="100"/>
        <c:noMultiLvlLbl val="0"/>
      </c:catAx>
      <c:valAx>
        <c:axId val="19924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924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589955</xdr:colOff>
      <xdr:row>3</xdr:row>
      <xdr:rowOff>3056</xdr:rowOff>
    </xdr:from>
    <xdr:to>
      <xdr:col>21</xdr:col>
      <xdr:colOff>609870</xdr:colOff>
      <xdr:row>29</xdr:row>
      <xdr:rowOff>81292</xdr:rowOff>
    </xdr:to>
    <xdr:grpSp>
      <xdr:nvGrpSpPr>
        <xdr:cNvPr id="15" name="Group 14">
          <a:extLst>
            <a:ext uri="{FF2B5EF4-FFF2-40B4-BE49-F238E27FC236}">
              <a16:creationId xmlns:a16="http://schemas.microsoft.com/office/drawing/2014/main" id="{099084F0-D6B8-DEDB-8942-78202CE572CF}"/>
            </a:ext>
          </a:extLst>
        </xdr:cNvPr>
        <xdr:cNvGrpSpPr/>
      </xdr:nvGrpSpPr>
      <xdr:grpSpPr>
        <a:xfrm>
          <a:off x="589955" y="557238"/>
          <a:ext cx="12870006" cy="4881145"/>
          <a:chOff x="626629" y="536865"/>
          <a:chExt cx="12870006" cy="4879107"/>
        </a:xfrm>
      </xdr:grpSpPr>
      <xdr:sp macro="" textlink="">
        <xdr:nvSpPr>
          <xdr:cNvPr id="3" name="Rectangle 2">
            <a:extLst>
              <a:ext uri="{FF2B5EF4-FFF2-40B4-BE49-F238E27FC236}">
                <a16:creationId xmlns:a16="http://schemas.microsoft.com/office/drawing/2014/main" id="{7F68EAA2-F1D0-4FEF-AE62-8C407748186A}"/>
              </a:ext>
            </a:extLst>
          </xdr:cNvPr>
          <xdr:cNvSpPr/>
        </xdr:nvSpPr>
        <xdr:spPr>
          <a:xfrm>
            <a:off x="632978" y="536865"/>
            <a:ext cx="12863657" cy="4866409"/>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4" name="Rectangle 3">
            <a:extLst>
              <a:ext uri="{FF2B5EF4-FFF2-40B4-BE49-F238E27FC236}">
                <a16:creationId xmlns:a16="http://schemas.microsoft.com/office/drawing/2014/main" id="{0915AAD9-389B-4C0F-94F5-A150FF430B96}"/>
              </a:ext>
            </a:extLst>
          </xdr:cNvPr>
          <xdr:cNvSpPr/>
        </xdr:nvSpPr>
        <xdr:spPr>
          <a:xfrm>
            <a:off x="647411" y="542637"/>
            <a:ext cx="12826134" cy="4866409"/>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5" name="Rectangle 4">
            <a:extLst>
              <a:ext uri="{FF2B5EF4-FFF2-40B4-BE49-F238E27FC236}">
                <a16:creationId xmlns:a16="http://schemas.microsoft.com/office/drawing/2014/main" id="{BE057943-4D96-4738-AADE-91B8B1096596}"/>
              </a:ext>
            </a:extLst>
          </xdr:cNvPr>
          <xdr:cNvSpPr/>
        </xdr:nvSpPr>
        <xdr:spPr>
          <a:xfrm>
            <a:off x="626629" y="556492"/>
            <a:ext cx="4314825" cy="4835236"/>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6" name="Rectangle 5">
            <a:extLst>
              <a:ext uri="{FF2B5EF4-FFF2-40B4-BE49-F238E27FC236}">
                <a16:creationId xmlns:a16="http://schemas.microsoft.com/office/drawing/2014/main" id="{0459264A-3B5F-42A7-8723-CBC88E7ED8FB}"/>
              </a:ext>
            </a:extLst>
          </xdr:cNvPr>
          <xdr:cNvSpPr/>
        </xdr:nvSpPr>
        <xdr:spPr>
          <a:xfrm>
            <a:off x="4935393" y="570346"/>
            <a:ext cx="4314825" cy="4832928"/>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CD67DC15-4F8F-47E4-9C0C-5F6D69218DA5}"/>
              </a:ext>
            </a:extLst>
          </xdr:cNvPr>
          <xdr:cNvSpPr/>
        </xdr:nvSpPr>
        <xdr:spPr>
          <a:xfrm>
            <a:off x="9232611" y="549563"/>
            <a:ext cx="4252480" cy="4866409"/>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8" name="Rectangle 7">
            <a:extLst>
              <a:ext uri="{FF2B5EF4-FFF2-40B4-BE49-F238E27FC236}">
                <a16:creationId xmlns:a16="http://schemas.microsoft.com/office/drawing/2014/main" id="{7C8176C2-99C0-4D20-A07C-1E84C0BC46AA}"/>
              </a:ext>
            </a:extLst>
          </xdr:cNvPr>
          <xdr:cNvSpPr/>
        </xdr:nvSpPr>
        <xdr:spPr>
          <a:xfrm>
            <a:off x="628938" y="547255"/>
            <a:ext cx="4314825" cy="2350654"/>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9" name="Rectangle 8">
            <a:extLst>
              <a:ext uri="{FF2B5EF4-FFF2-40B4-BE49-F238E27FC236}">
                <a16:creationId xmlns:a16="http://schemas.microsoft.com/office/drawing/2014/main" id="{2363A549-D7D7-4991-BC9C-CDF402ADDD83}"/>
              </a:ext>
            </a:extLst>
          </xdr:cNvPr>
          <xdr:cNvSpPr/>
        </xdr:nvSpPr>
        <xdr:spPr>
          <a:xfrm>
            <a:off x="642794" y="2909455"/>
            <a:ext cx="4287116" cy="2484581"/>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10" name="Rectangle 9">
            <a:extLst>
              <a:ext uri="{FF2B5EF4-FFF2-40B4-BE49-F238E27FC236}">
                <a16:creationId xmlns:a16="http://schemas.microsoft.com/office/drawing/2014/main" id="{AB134A9B-A2AB-43F6-B087-4F131BAB2215}"/>
              </a:ext>
            </a:extLst>
          </xdr:cNvPr>
          <xdr:cNvSpPr/>
        </xdr:nvSpPr>
        <xdr:spPr>
          <a:xfrm>
            <a:off x="4940012" y="544947"/>
            <a:ext cx="4287116" cy="678872"/>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11" name="Rectangle 10">
            <a:extLst>
              <a:ext uri="{FF2B5EF4-FFF2-40B4-BE49-F238E27FC236}">
                <a16:creationId xmlns:a16="http://schemas.microsoft.com/office/drawing/2014/main" id="{15986326-24A3-4D78-9BEC-7F1774EC0851}"/>
              </a:ext>
            </a:extLst>
          </xdr:cNvPr>
          <xdr:cNvSpPr/>
        </xdr:nvSpPr>
        <xdr:spPr>
          <a:xfrm>
            <a:off x="4942321" y="4202546"/>
            <a:ext cx="4305588" cy="1179946"/>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12" name="Rectangle 11">
            <a:extLst>
              <a:ext uri="{FF2B5EF4-FFF2-40B4-BE49-F238E27FC236}">
                <a16:creationId xmlns:a16="http://schemas.microsoft.com/office/drawing/2014/main" id="{C1B3E118-65A1-4713-A7DF-99FB9C90EA83}"/>
              </a:ext>
            </a:extLst>
          </xdr:cNvPr>
          <xdr:cNvSpPr/>
        </xdr:nvSpPr>
        <xdr:spPr>
          <a:xfrm>
            <a:off x="9246467" y="2923309"/>
            <a:ext cx="4227078" cy="2484581"/>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F8A65D0D-B651-41A6-AAA9-02B37D97D7AE}"/>
              </a:ext>
            </a:extLst>
          </xdr:cNvPr>
          <xdr:cNvSpPr/>
        </xdr:nvSpPr>
        <xdr:spPr>
          <a:xfrm>
            <a:off x="9247909" y="570345"/>
            <a:ext cx="4237182" cy="2350655"/>
          </a:xfrm>
          <a:prstGeom prst="rect">
            <a:avLst/>
          </a:prstGeom>
          <a:noFill/>
          <a:ln w="22225" cap="flat" cmpd="sng" algn="ctr">
            <a:solidFill>
              <a:schemeClr val="dk1"/>
            </a:solidFill>
            <a:prstDash val="solid"/>
            <a:round/>
            <a:headEnd type="none" w="med" len="med"/>
            <a:tailEnd type="none" w="med" len="med"/>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grpSp>
    <xdr:clientData/>
  </xdr:twoCellAnchor>
  <xdr:twoCellAnchor>
    <xdr:from>
      <xdr:col>8</xdr:col>
      <xdr:colOff>44823</xdr:colOff>
      <xdr:row>6</xdr:row>
      <xdr:rowOff>179294</xdr:rowOff>
    </xdr:from>
    <xdr:to>
      <xdr:col>14</xdr:col>
      <xdr:colOff>597647</xdr:colOff>
      <xdr:row>22</xdr:row>
      <xdr:rowOff>134469</xdr:rowOff>
    </xdr:to>
    <xdr:graphicFrame macro="">
      <xdr:nvGraphicFramePr>
        <xdr:cNvPr id="16" name="Chart 15">
          <a:extLst>
            <a:ext uri="{FF2B5EF4-FFF2-40B4-BE49-F238E27FC236}">
              <a16:creationId xmlns:a16="http://schemas.microsoft.com/office/drawing/2014/main" id="{84B3AD7C-7EAF-4C91-A808-2BDA5B893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14941</xdr:colOff>
      <xdr:row>17</xdr:row>
      <xdr:rowOff>156882</xdr:rowOff>
    </xdr:from>
    <xdr:to>
      <xdr:col>7</xdr:col>
      <xdr:colOff>605117</xdr:colOff>
      <xdr:row>29</xdr:row>
      <xdr:rowOff>44823</xdr:rowOff>
    </xdr:to>
    <xdr:graphicFrame macro="">
      <xdr:nvGraphicFramePr>
        <xdr:cNvPr id="18" name="Chart 17">
          <a:extLst>
            <a:ext uri="{FF2B5EF4-FFF2-40B4-BE49-F238E27FC236}">
              <a16:creationId xmlns:a16="http://schemas.microsoft.com/office/drawing/2014/main" id="{106D31E7-EF2E-4CA8-BE5E-A7A4A9C81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59764</xdr:colOff>
      <xdr:row>5</xdr:row>
      <xdr:rowOff>59764</xdr:rowOff>
    </xdr:from>
    <xdr:to>
      <xdr:col>21</xdr:col>
      <xdr:colOff>582706</xdr:colOff>
      <xdr:row>15</xdr:row>
      <xdr:rowOff>149411</xdr:rowOff>
    </xdr:to>
    <xdr:graphicFrame macro="">
      <xdr:nvGraphicFramePr>
        <xdr:cNvPr id="20" name="Chart 19">
          <a:extLst>
            <a:ext uri="{FF2B5EF4-FFF2-40B4-BE49-F238E27FC236}">
              <a16:creationId xmlns:a16="http://schemas.microsoft.com/office/drawing/2014/main" id="{B88F79F7-F4DA-4909-BBC2-536D6712D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22412</xdr:colOff>
      <xdr:row>4</xdr:row>
      <xdr:rowOff>67235</xdr:rowOff>
    </xdr:from>
    <xdr:to>
      <xdr:col>7</xdr:col>
      <xdr:colOff>582706</xdr:colOff>
      <xdr:row>15</xdr:row>
      <xdr:rowOff>141941</xdr:rowOff>
    </xdr:to>
    <xdr:graphicFrame macro="">
      <xdr:nvGraphicFramePr>
        <xdr:cNvPr id="21" name="Chart 20">
          <a:extLst>
            <a:ext uri="{FF2B5EF4-FFF2-40B4-BE49-F238E27FC236}">
              <a16:creationId xmlns:a16="http://schemas.microsoft.com/office/drawing/2014/main" id="{3A62494D-15BD-4E9B-AB5A-07FAB4408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44823</xdr:colOff>
      <xdr:row>17</xdr:row>
      <xdr:rowOff>44823</xdr:rowOff>
    </xdr:from>
    <xdr:to>
      <xdr:col>21</xdr:col>
      <xdr:colOff>567765</xdr:colOff>
      <xdr:row>29</xdr:row>
      <xdr:rowOff>37353</xdr:rowOff>
    </xdr:to>
    <xdr:graphicFrame macro="">
      <xdr:nvGraphicFramePr>
        <xdr:cNvPr id="22" name="Chart 21">
          <a:extLst>
            <a:ext uri="{FF2B5EF4-FFF2-40B4-BE49-F238E27FC236}">
              <a16:creationId xmlns:a16="http://schemas.microsoft.com/office/drawing/2014/main" id="{A7BAA213-5A1A-4D21-95E4-C1BD4A878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108526</xdr:colOff>
      <xdr:row>3</xdr:row>
      <xdr:rowOff>80817</xdr:rowOff>
    </xdr:from>
    <xdr:to>
      <xdr:col>14</xdr:col>
      <xdr:colOff>531092</xdr:colOff>
      <xdr:row>5</xdr:row>
      <xdr:rowOff>150091</xdr:rowOff>
    </xdr:to>
    <mc:AlternateContent xmlns:mc="http://schemas.openxmlformats.org/markup-compatibility/2006">
      <mc:Choice xmlns:a14="http://schemas.microsoft.com/office/drawing/2010/main" Requires="a14">
        <xdr:graphicFrame macro="">
          <xdr:nvGraphicFramePr>
            <xdr:cNvPr id="35" name="Year">
              <a:extLst>
                <a:ext uri="{FF2B5EF4-FFF2-40B4-BE49-F238E27FC236}">
                  <a16:creationId xmlns:a16="http://schemas.microsoft.com/office/drawing/2014/main" id="{A8A70031-D712-9078-0CC6-775B6099D0F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03799" y="634999"/>
              <a:ext cx="4094020" cy="43872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 refreshedDate="46002.700957407411" backgroundQuery="1" createdVersion="8" refreshedVersion="8" minRefreshableVersion="3" recordCount="0" supportSubquery="1" supportAdvancedDrill="1" xr:uid="{524002B5-10C7-41D4-94BC-EE040E3DDE41}">
  <cacheSource type="external" connectionId="1"/>
  <cacheFields count="3">
    <cacheField name="[Measures].[Sum of FarmerCount]" caption="Sum of FarmerCount" numFmtId="0" hierarchy="14" level="32767"/>
    <cacheField name="[Table1].[Barangay].[Barangay]" caption="Barangay" numFmtId="0" hierarchy="2" level="1">
      <sharedItems count="7">
        <s v="Bagumbarangay"/>
        <s v="Halayhayin"/>
        <s v="Laguio"/>
        <s v="Magsaysay"/>
        <s v="Mayatba"/>
        <s v="P. Burgos"/>
        <s v="Wawa"/>
      </sharedItems>
    </cacheField>
    <cacheField name="[Table1].[Year].[Year]" caption="Year" numFmtId="0" hierarchy="11" level="1">
      <sharedItems containsSemiMixedTypes="0" containsNonDate="0" containsString="0"/>
    </cacheField>
  </cacheFields>
  <cacheHierarchies count="21">
    <cacheHierarchy uniqueName="[Table1].[RecordID]" caption="RecordID" attribute="1" defaultMemberUniqueName="[Table1].[RecordID].[All]" allUniqueName="[Table1].[RecordID].[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Barangay]" caption="Barangay" attribute="1" defaultMemberUniqueName="[Table1].[Barangay].[All]" allUniqueName="[Table1].[Barangay].[All]" dimensionUniqueName="[Table1]" displayFolder="" count="2" memberValueDatatype="130" unbalanced="0">
      <fieldsUsage count="2">
        <fieldUsage x="-1"/>
        <fieldUsage x="1"/>
      </fieldsUsage>
    </cacheHierarchy>
    <cacheHierarchy uniqueName="[Table1].[FarmType]" caption="FarmType" attribute="1" defaultMemberUniqueName="[Table1].[FarmType].[All]" allUniqueName="[Table1].[FarmType].[All]" dimensionUniqueName="[Table1]" displayFolder="" count="2" memberValueDatatype="130" unbalanced="0"/>
    <cacheHierarchy uniqueName="[Table1].[Area_ha]" caption="Area_ha" attribute="1" defaultMemberUniqueName="[Table1].[Area_ha].[All]" allUniqueName="[Table1].[Area_ha].[All]" dimensionUniqueName="[Table1]" displayFolder="" count="2" memberValueDatatype="5" unbalanced="0"/>
    <cacheHierarchy uniqueName="[Table1].[YieldLoss_tonnes]" caption="YieldLoss_tonnes" attribute="1" defaultMemberUniqueName="[Table1].[YieldLoss_tonnes].[All]" allUniqueName="[Table1].[YieldLoss_tonnes].[All]" dimensionUniqueName="[Table1]" displayFolder="" count="2" memberValueDatatype="5" unbalanced="0"/>
    <cacheHierarchy uniqueName="[Table1].[CropValue_loss_PHP]" caption="CropValue_loss_PHP" attribute="1" defaultMemberUniqueName="[Table1].[CropValue_loss_PHP].[All]" allUniqueName="[Table1].[CropValue_loss_PHP].[All]" dimensionUniqueName="[Table1]" displayFolder="" count="2" memberValueDatatype="20" unbalanced="0"/>
    <cacheHierarchy uniqueName="[Table1].[Cause]" caption="Cause" attribute="1" defaultMemberUniqueName="[Table1].[Cause].[All]" allUniqueName="[Table1].[Cause].[All]" dimensionUniqueName="[Table1]" displayFolder="" count="2" memberValueDatatype="130" unbalanced="0"/>
    <cacheHierarchy uniqueName="[Table1].[DeclaredStateOfCalamity]" caption="DeclaredStateOfCalamity" attribute="1" defaultMemberUniqueName="[Table1].[DeclaredStateOfCalamity].[All]" allUniqueName="[Table1].[DeclaredStateOfCalamity].[All]" dimensionUniqueName="[Table1]" displayFolder="" count="2" memberValueDatatype="130" unbalanced="0"/>
    <cacheHierarchy uniqueName="[Table1].[FarmerCount]" caption="FarmerCount" attribute="1" defaultMemberUniqueName="[Table1].[FarmerCount].[All]" allUniqueName="[Table1].[FarmerCount].[All]" dimensionUniqueName="[Table1]" displayFolder="" count="2" memberValueDatatype="20" unbalanced="0"/>
    <cacheHierarchy uniqueName="[Table1].[RecoveryCost_PHP]" caption="RecoveryCost_PHP" attribute="1" defaultMemberUniqueName="[Table1].[RecoveryCost_PHP].[All]" allUniqueName="[Table1].[RecoveryCost_PHP].[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rmerCount]" caption="Sum of FarmerCoun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ecordID]" caption="Sum of RecordID" measure="1" displayFolder="" measureGroup="Table1"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1"/>
        </ext>
      </extLst>
    </cacheHierarchy>
    <cacheHierarchy uniqueName="[Measures].[Count of Cause]" caption="Count of Cause" measure="1" displayFolder="" measureGroup="Table1" count="0" hidden="1">
      <extLst>
        <ext xmlns:x15="http://schemas.microsoft.com/office/spreadsheetml/2010/11/main" uri="{B97F6D7D-B522-45F9-BDA1-12C45D357490}">
          <x15:cacheHierarchy aggregatedColumn="7"/>
        </ext>
      </extLst>
    </cacheHierarchy>
    <cacheHierarchy uniqueName="[Measures].[Sum of RecoveryCost_PHP]" caption="Sum of RecoveryCost_PHP" measure="1" displayFolder="" measureGroup="Table1" count="0" hidden="1">
      <extLst>
        <ext xmlns:x15="http://schemas.microsoft.com/office/spreadsheetml/2010/11/main" uri="{B97F6D7D-B522-45F9-BDA1-12C45D357490}">
          <x15:cacheHierarchy aggregatedColumn="10"/>
        </ext>
      </extLst>
    </cacheHierarchy>
    <cacheHierarchy uniqueName="[Measures].[Sum of YieldLoss_tonnes]" caption="Sum of YieldLoss_tonnes" measure="1" displayFolder="" measureGroup="Table1" count="0" hidden="1">
      <extLst>
        <ext xmlns:x15="http://schemas.microsoft.com/office/spreadsheetml/2010/11/main" uri="{B97F6D7D-B522-45F9-BDA1-12C45D357490}">
          <x15:cacheHierarchy aggregatedColumn="5"/>
        </ext>
      </extLst>
    </cacheHierarchy>
    <cacheHierarchy uniqueName="[Measures].[Sum of CropValue_loss_PHP]" caption="Sum of CropValue_loss_PHP"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 refreshedDate="46002.700957754627" backgroundQuery="1" createdVersion="8" refreshedVersion="8" minRefreshableVersion="3" recordCount="0" supportSubquery="1" supportAdvancedDrill="1" xr:uid="{A51DB026-4B45-45B9-A84B-06FAFEAD3530}">
  <cacheSource type="external" connectionId="1"/>
  <cacheFields count="3">
    <cacheField name="[Table1].[Cause].[Cause]" caption="Cause" numFmtId="0" hierarchy="7" level="1">
      <sharedItems count="5">
        <s v="Drainage failure"/>
        <s v="Flash flood"/>
        <s v="Flooding – river overflow"/>
        <s v="Heavy monsoon rains"/>
        <s v="Laguna de Bay backflow"/>
      </sharedItems>
    </cacheField>
    <cacheField name="[Table1].[Year].[Year]" caption="Year" numFmtId="0" hierarchy="11"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Table1].[Year].&amp;[2020]"/>
            <x15:cachedUniqueName index="1" name="[Table1].[Year].&amp;[2021]"/>
            <x15:cachedUniqueName index="2" name="[Table1].[Year].&amp;[2022]"/>
            <x15:cachedUniqueName index="3" name="[Table1].[Year].&amp;[2023]"/>
            <x15:cachedUniqueName index="4" name="[Table1].[Year].&amp;[2024]"/>
          </x15:cachedUniqueNames>
        </ext>
      </extLst>
    </cacheField>
    <cacheField name="[Measures].[Count of Cause]" caption="Count of Cause" numFmtId="0" hierarchy="17" level="32767"/>
  </cacheFields>
  <cacheHierarchies count="21">
    <cacheHierarchy uniqueName="[Table1].[RecordID]" caption="RecordID" attribute="1" defaultMemberUniqueName="[Table1].[RecordID].[All]" allUniqueName="[Table1].[Record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arangay]" caption="Barangay" attribute="1" defaultMemberUniqueName="[Table1].[Barangay].[All]" allUniqueName="[Table1].[Barangay].[All]" dimensionUniqueName="[Table1]" displayFolder="" count="0" memberValueDatatype="130" unbalanced="0"/>
    <cacheHierarchy uniqueName="[Table1].[FarmType]" caption="FarmType" attribute="1" defaultMemberUniqueName="[Table1].[FarmType].[All]" allUniqueName="[Table1].[FarmType].[All]" dimensionUniqueName="[Table1]" displayFolder="" count="0" memberValueDatatype="130" unbalanced="0"/>
    <cacheHierarchy uniqueName="[Table1].[Area_ha]" caption="Area_ha" attribute="1" defaultMemberUniqueName="[Table1].[Area_ha].[All]" allUniqueName="[Table1].[Area_ha].[All]" dimensionUniqueName="[Table1]" displayFolder="" count="0" memberValueDatatype="5" unbalanced="0"/>
    <cacheHierarchy uniqueName="[Table1].[YieldLoss_tonnes]" caption="YieldLoss_tonnes" attribute="1" defaultMemberUniqueName="[Table1].[YieldLoss_tonnes].[All]" allUniqueName="[Table1].[YieldLoss_tonnes].[All]" dimensionUniqueName="[Table1]" displayFolder="" count="0" memberValueDatatype="5" unbalanced="0"/>
    <cacheHierarchy uniqueName="[Table1].[CropValue_loss_PHP]" caption="CropValue_loss_PHP" attribute="1" defaultMemberUniqueName="[Table1].[CropValue_loss_PHP].[All]" allUniqueName="[Table1].[CropValue_loss_PHP].[All]" dimensionUniqueName="[Table1]" displayFolder="" count="0" memberValueDatatype="20" unbalanced="0"/>
    <cacheHierarchy uniqueName="[Table1].[Cause]" caption="Cause" attribute="1" defaultMemberUniqueName="[Table1].[Cause].[All]" allUniqueName="[Table1].[Cause].[All]" dimensionUniqueName="[Table1]" displayFolder="" count="2" memberValueDatatype="130" unbalanced="0">
      <fieldsUsage count="2">
        <fieldUsage x="-1"/>
        <fieldUsage x="0"/>
      </fieldsUsage>
    </cacheHierarchy>
    <cacheHierarchy uniqueName="[Table1].[DeclaredStateOfCalamity]" caption="DeclaredStateOfCalamity" attribute="1" defaultMemberUniqueName="[Table1].[DeclaredStateOfCalamity].[All]" allUniqueName="[Table1].[DeclaredStateOfCalamity].[All]" dimensionUniqueName="[Table1]" displayFolder="" count="0" memberValueDatatype="130" unbalanced="0"/>
    <cacheHierarchy uniqueName="[Table1].[FarmerCount]" caption="FarmerCount" attribute="1" defaultMemberUniqueName="[Table1].[FarmerCount].[All]" allUniqueName="[Table1].[FarmerCount].[All]" dimensionUniqueName="[Table1]" displayFolder="" count="0" memberValueDatatype="20" unbalanced="0"/>
    <cacheHierarchy uniqueName="[Table1].[RecoveryCost_PHP]" caption="RecoveryCost_PHP" attribute="1" defaultMemberUniqueName="[Table1].[RecoveryCost_PHP].[All]" allUniqueName="[Table1].[RecoveryCost_PHP].[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rmerCount]" caption="Sum of FarmerCount" measure="1" displayFolder="" measureGroup="Table1" count="0" hidden="1">
      <extLst>
        <ext xmlns:x15="http://schemas.microsoft.com/office/spreadsheetml/2010/11/main" uri="{B97F6D7D-B522-45F9-BDA1-12C45D357490}">
          <x15:cacheHierarchy aggregatedColumn="9"/>
        </ext>
      </extLst>
    </cacheHierarchy>
    <cacheHierarchy uniqueName="[Measures].[Sum of RecordID]" caption="Sum of RecordID" measure="1" displayFolder="" measureGroup="Table1"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1"/>
        </ext>
      </extLst>
    </cacheHierarchy>
    <cacheHierarchy uniqueName="[Measures].[Count of Cause]" caption="Count of Cause"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RecoveryCost_PHP]" caption="Sum of RecoveryCost_PHP" measure="1" displayFolder="" measureGroup="Table1" count="0" hidden="1">
      <extLst>
        <ext xmlns:x15="http://schemas.microsoft.com/office/spreadsheetml/2010/11/main" uri="{B97F6D7D-B522-45F9-BDA1-12C45D357490}">
          <x15:cacheHierarchy aggregatedColumn="10"/>
        </ext>
      </extLst>
    </cacheHierarchy>
    <cacheHierarchy uniqueName="[Measures].[Sum of YieldLoss_tonnes]" caption="Sum of YieldLoss_tonnes" measure="1" displayFolder="" measureGroup="Table1" count="0" hidden="1">
      <extLst>
        <ext xmlns:x15="http://schemas.microsoft.com/office/spreadsheetml/2010/11/main" uri="{B97F6D7D-B522-45F9-BDA1-12C45D357490}">
          <x15:cacheHierarchy aggregatedColumn="5"/>
        </ext>
      </extLst>
    </cacheHierarchy>
    <cacheHierarchy uniqueName="[Measures].[Sum of CropValue_loss_PHP]" caption="Sum of CropValue_loss_PHP"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 refreshedDate="46002.70095810185" backgroundQuery="1" createdVersion="8" refreshedVersion="8" minRefreshableVersion="3" recordCount="0" supportSubquery="1" supportAdvancedDrill="1" xr:uid="{8B64CE96-B9B3-4652-9BA2-C082A40D8215}">
  <cacheSource type="external" connectionId="1"/>
  <cacheFields count="3">
    <cacheField name="[Measures].[Sum of RecoveryCost_PHP]" caption="Sum of RecoveryCost_PHP" numFmtId="0" hierarchy="18" level="32767"/>
    <cacheField name="[Table1].[Year].[Year]" caption="Year" numFmtId="0" hierarchy="11"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Table1].[Year].&amp;[2020]"/>
            <x15:cachedUniqueName index="1" name="[Table1].[Year].&amp;[2021]"/>
            <x15:cachedUniqueName index="2" name="[Table1].[Year].&amp;[2022]"/>
            <x15:cachedUniqueName index="3" name="[Table1].[Year].&amp;[2023]"/>
            <x15:cachedUniqueName index="4" name="[Table1].[Year].&amp;[2024]"/>
          </x15:cachedUniqueNames>
        </ext>
      </extLst>
    </cacheField>
    <cacheField name="[Table1].[Barangay].[Barangay]" caption="Barangay" numFmtId="0" hierarchy="2" level="1">
      <sharedItems count="7">
        <s v="Bagumbarangay"/>
        <s v="Halayhayin"/>
        <s v="Laguio"/>
        <s v="Magsaysay"/>
        <s v="Mayatba"/>
        <s v="P. Burgos"/>
        <s v="Wawa"/>
      </sharedItems>
    </cacheField>
  </cacheFields>
  <cacheHierarchies count="21">
    <cacheHierarchy uniqueName="[Table1].[RecordID]" caption="RecordID" attribute="1" defaultMemberUniqueName="[Table1].[RecordID].[All]" allUniqueName="[Table1].[Record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arangay]" caption="Barangay" attribute="1" defaultMemberUniqueName="[Table1].[Barangay].[All]" allUniqueName="[Table1].[Barangay].[All]" dimensionUniqueName="[Table1]" displayFolder="" count="2" memberValueDatatype="130" unbalanced="0">
      <fieldsUsage count="2">
        <fieldUsage x="-1"/>
        <fieldUsage x="2"/>
      </fieldsUsage>
    </cacheHierarchy>
    <cacheHierarchy uniqueName="[Table1].[FarmType]" caption="FarmType" attribute="1" defaultMemberUniqueName="[Table1].[FarmType].[All]" allUniqueName="[Table1].[FarmType].[All]" dimensionUniqueName="[Table1]" displayFolder="" count="0" memberValueDatatype="130" unbalanced="0"/>
    <cacheHierarchy uniqueName="[Table1].[Area_ha]" caption="Area_ha" attribute="1" defaultMemberUniqueName="[Table1].[Area_ha].[All]" allUniqueName="[Table1].[Area_ha].[All]" dimensionUniqueName="[Table1]" displayFolder="" count="0" memberValueDatatype="5" unbalanced="0"/>
    <cacheHierarchy uniqueName="[Table1].[YieldLoss_tonnes]" caption="YieldLoss_tonnes" attribute="1" defaultMemberUniqueName="[Table1].[YieldLoss_tonnes].[All]" allUniqueName="[Table1].[YieldLoss_tonnes].[All]" dimensionUniqueName="[Table1]" displayFolder="" count="0" memberValueDatatype="5" unbalanced="0"/>
    <cacheHierarchy uniqueName="[Table1].[CropValue_loss_PHP]" caption="CropValue_loss_PHP" attribute="1" defaultMemberUniqueName="[Table1].[CropValue_loss_PHP].[All]" allUniqueName="[Table1].[CropValue_loss_PHP].[All]" dimensionUniqueName="[Table1]" displayFolder="" count="0" memberValueDatatype="20" unbalanced="0"/>
    <cacheHierarchy uniqueName="[Table1].[Cause]" caption="Cause" attribute="1" defaultMemberUniqueName="[Table1].[Cause].[All]" allUniqueName="[Table1].[Cause].[All]" dimensionUniqueName="[Table1]" displayFolder="" count="0" memberValueDatatype="130" unbalanced="0"/>
    <cacheHierarchy uniqueName="[Table1].[DeclaredStateOfCalamity]" caption="DeclaredStateOfCalamity" attribute="1" defaultMemberUniqueName="[Table1].[DeclaredStateOfCalamity].[All]" allUniqueName="[Table1].[DeclaredStateOfCalamity].[All]" dimensionUniqueName="[Table1]" displayFolder="" count="0" memberValueDatatype="130" unbalanced="0"/>
    <cacheHierarchy uniqueName="[Table1].[FarmerCount]" caption="FarmerCount" attribute="1" defaultMemberUniqueName="[Table1].[FarmerCount].[All]" allUniqueName="[Table1].[FarmerCount].[All]" dimensionUniqueName="[Table1]" displayFolder="" count="0" memberValueDatatype="20" unbalanced="0"/>
    <cacheHierarchy uniqueName="[Table1].[RecoveryCost_PHP]" caption="RecoveryCost_PHP" attribute="1" defaultMemberUniqueName="[Table1].[RecoveryCost_PHP].[All]" allUniqueName="[Table1].[RecoveryCost_PHP].[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rmerCount]" caption="Sum of FarmerCount" measure="1" displayFolder="" measureGroup="Table1" count="0" hidden="1">
      <extLst>
        <ext xmlns:x15="http://schemas.microsoft.com/office/spreadsheetml/2010/11/main" uri="{B97F6D7D-B522-45F9-BDA1-12C45D357490}">
          <x15:cacheHierarchy aggregatedColumn="9"/>
        </ext>
      </extLst>
    </cacheHierarchy>
    <cacheHierarchy uniqueName="[Measures].[Sum of RecordID]" caption="Sum of RecordID" measure="1" displayFolder="" measureGroup="Table1"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1"/>
        </ext>
      </extLst>
    </cacheHierarchy>
    <cacheHierarchy uniqueName="[Measures].[Count of Cause]" caption="Count of Cause" measure="1" displayFolder="" measureGroup="Table1" count="0" hidden="1">
      <extLst>
        <ext xmlns:x15="http://schemas.microsoft.com/office/spreadsheetml/2010/11/main" uri="{B97F6D7D-B522-45F9-BDA1-12C45D357490}">
          <x15:cacheHierarchy aggregatedColumn="7"/>
        </ext>
      </extLst>
    </cacheHierarchy>
    <cacheHierarchy uniqueName="[Measures].[Sum of RecoveryCost_PHP]" caption="Sum of RecoveryCost_PHP"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ieldLoss_tonnes]" caption="Sum of YieldLoss_tonnes" measure="1" displayFolder="" measureGroup="Table1" count="0" hidden="1">
      <extLst>
        <ext xmlns:x15="http://schemas.microsoft.com/office/spreadsheetml/2010/11/main" uri="{B97F6D7D-B522-45F9-BDA1-12C45D357490}">
          <x15:cacheHierarchy aggregatedColumn="5"/>
        </ext>
      </extLst>
    </cacheHierarchy>
    <cacheHierarchy uniqueName="[Measures].[Sum of CropValue_loss_PHP]" caption="Sum of CropValue_loss_PHP"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 refreshedDate="46002.700958449073" backgroundQuery="1" createdVersion="8" refreshedVersion="8" minRefreshableVersion="3" recordCount="0" supportSubquery="1" supportAdvancedDrill="1" xr:uid="{221A163E-95E0-4581-9202-3A4F72846FD1}">
  <cacheSource type="external" connectionId="1"/>
  <cacheFields count="4">
    <cacheField name="[Table1].[Barangay].[Barangay]" caption="Barangay" numFmtId="0" hierarchy="2" level="1">
      <sharedItems count="7">
        <s v="Bagumbarangay"/>
        <s v="Halayhayin"/>
        <s v="Laguio"/>
        <s v="Magsaysay"/>
        <s v="Mayatba"/>
        <s v="P. Burgos"/>
        <s v="Wawa"/>
      </sharedItems>
    </cacheField>
    <cacheField name="[Measures].[Sum of YieldLoss_tonnes]" caption="Sum of YieldLoss_tonnes" numFmtId="0" hierarchy="19" level="32767"/>
    <cacheField name="[Table1].[FarmType].[FarmType]" caption="FarmType" numFmtId="0" hierarchy="3" level="1">
      <sharedItems count="5">
        <s v="Corn"/>
        <s v="Fruit trees"/>
        <s v="Rice – paddy"/>
        <s v="Vegetable – leafy"/>
        <s v="Vegetable – root"/>
      </sharedItems>
    </cacheField>
    <cacheField name="[Table1].[Year].[Year]" caption="Year" numFmtId="0" hierarchy="11" level="1">
      <sharedItems containsSemiMixedTypes="0" containsNonDate="0" containsString="0"/>
    </cacheField>
  </cacheFields>
  <cacheHierarchies count="21">
    <cacheHierarchy uniqueName="[Table1].[RecordID]" caption="RecordID" attribute="1" defaultMemberUniqueName="[Table1].[RecordID].[All]" allUniqueName="[Table1].[Record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arangay]" caption="Barangay" attribute="1" defaultMemberUniqueName="[Table1].[Barangay].[All]" allUniqueName="[Table1].[Barangay].[All]" dimensionUniqueName="[Table1]" displayFolder="" count="2" memberValueDatatype="130" unbalanced="0">
      <fieldsUsage count="2">
        <fieldUsage x="-1"/>
        <fieldUsage x="0"/>
      </fieldsUsage>
    </cacheHierarchy>
    <cacheHierarchy uniqueName="[Table1].[FarmType]" caption="FarmType" attribute="1" defaultMemberUniqueName="[Table1].[FarmType].[All]" allUniqueName="[Table1].[FarmType].[All]" dimensionUniqueName="[Table1]" displayFolder="" count="2" memberValueDatatype="130" unbalanced="0">
      <fieldsUsage count="2">
        <fieldUsage x="-1"/>
        <fieldUsage x="2"/>
      </fieldsUsage>
    </cacheHierarchy>
    <cacheHierarchy uniqueName="[Table1].[Area_ha]" caption="Area_ha" attribute="1" defaultMemberUniqueName="[Table1].[Area_ha].[All]" allUniqueName="[Table1].[Area_ha].[All]" dimensionUniqueName="[Table1]" displayFolder="" count="0" memberValueDatatype="5" unbalanced="0"/>
    <cacheHierarchy uniqueName="[Table1].[YieldLoss_tonnes]" caption="YieldLoss_tonnes" attribute="1" defaultMemberUniqueName="[Table1].[YieldLoss_tonnes].[All]" allUniqueName="[Table1].[YieldLoss_tonnes].[All]" dimensionUniqueName="[Table1]" displayFolder="" count="0" memberValueDatatype="5" unbalanced="0"/>
    <cacheHierarchy uniqueName="[Table1].[CropValue_loss_PHP]" caption="CropValue_loss_PHP" attribute="1" defaultMemberUniqueName="[Table1].[CropValue_loss_PHP].[All]" allUniqueName="[Table1].[CropValue_loss_PHP].[All]" dimensionUniqueName="[Table1]" displayFolder="" count="0" memberValueDatatype="20" unbalanced="0"/>
    <cacheHierarchy uniqueName="[Table1].[Cause]" caption="Cause" attribute="1" defaultMemberUniqueName="[Table1].[Cause].[All]" allUniqueName="[Table1].[Cause].[All]" dimensionUniqueName="[Table1]" displayFolder="" count="0" memberValueDatatype="130" unbalanced="0"/>
    <cacheHierarchy uniqueName="[Table1].[DeclaredStateOfCalamity]" caption="DeclaredStateOfCalamity" attribute="1" defaultMemberUniqueName="[Table1].[DeclaredStateOfCalamity].[All]" allUniqueName="[Table1].[DeclaredStateOfCalamity].[All]" dimensionUniqueName="[Table1]" displayFolder="" count="0" memberValueDatatype="130" unbalanced="0"/>
    <cacheHierarchy uniqueName="[Table1].[FarmerCount]" caption="FarmerCount" attribute="1" defaultMemberUniqueName="[Table1].[FarmerCount].[All]" allUniqueName="[Table1].[FarmerCount].[All]" dimensionUniqueName="[Table1]" displayFolder="" count="0" memberValueDatatype="20" unbalanced="0"/>
    <cacheHierarchy uniqueName="[Table1].[RecoveryCost_PHP]" caption="RecoveryCost_PHP" attribute="1" defaultMemberUniqueName="[Table1].[RecoveryCost_PHP].[All]" allUniqueName="[Table1].[RecoveryCost_PHP].[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rmerCount]" caption="Sum of FarmerCount" measure="1" displayFolder="" measureGroup="Table1" count="0" hidden="1">
      <extLst>
        <ext xmlns:x15="http://schemas.microsoft.com/office/spreadsheetml/2010/11/main" uri="{B97F6D7D-B522-45F9-BDA1-12C45D357490}">
          <x15:cacheHierarchy aggregatedColumn="9"/>
        </ext>
      </extLst>
    </cacheHierarchy>
    <cacheHierarchy uniqueName="[Measures].[Sum of RecordID]" caption="Sum of RecordID" measure="1" displayFolder="" measureGroup="Table1"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1"/>
        </ext>
      </extLst>
    </cacheHierarchy>
    <cacheHierarchy uniqueName="[Measures].[Count of Cause]" caption="Count of Cause" measure="1" displayFolder="" measureGroup="Table1" count="0" hidden="1">
      <extLst>
        <ext xmlns:x15="http://schemas.microsoft.com/office/spreadsheetml/2010/11/main" uri="{B97F6D7D-B522-45F9-BDA1-12C45D357490}">
          <x15:cacheHierarchy aggregatedColumn="7"/>
        </ext>
      </extLst>
    </cacheHierarchy>
    <cacheHierarchy uniqueName="[Measures].[Sum of RecoveryCost_PHP]" caption="Sum of RecoveryCost_PHP" measure="1" displayFolder="" measureGroup="Table1" count="0" hidden="1">
      <extLst>
        <ext xmlns:x15="http://schemas.microsoft.com/office/spreadsheetml/2010/11/main" uri="{B97F6D7D-B522-45F9-BDA1-12C45D357490}">
          <x15:cacheHierarchy aggregatedColumn="10"/>
        </ext>
      </extLst>
    </cacheHierarchy>
    <cacheHierarchy uniqueName="[Measures].[Sum of YieldLoss_tonnes]" caption="Sum of YieldLoss_tonnes"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ropValue_loss_PHP]" caption="Sum of CropValue_loss_PHP"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 refreshedDate="46002.700959027781" backgroundQuery="1" createdVersion="8" refreshedVersion="8" minRefreshableVersion="3" recordCount="0" supportSubquery="1" supportAdvancedDrill="1" xr:uid="{4F625128-0142-43EA-9176-DFA8808303EB}">
  <cacheSource type="external" connectionId="1"/>
  <cacheFields count="4">
    <cacheField name="[Table1].[Barangay].[Barangay]" caption="Barangay" numFmtId="0" hierarchy="2" level="1">
      <sharedItems count="7">
        <s v="Bagumbarangay"/>
        <s v="Halayhayin"/>
        <s v="Laguio"/>
        <s v="Magsaysay"/>
        <s v="Mayatba"/>
        <s v="P. Burgos"/>
        <s v="Wawa"/>
      </sharedItems>
    </cacheField>
    <cacheField name="[Table1].[FarmType].[FarmType]" caption="FarmType" numFmtId="0" hierarchy="3" level="1">
      <sharedItems count="5">
        <s v="Corn"/>
        <s v="Fruit trees"/>
        <s v="Rice – paddy"/>
        <s v="Vegetable – leafy"/>
        <s v="Vegetable – root"/>
      </sharedItems>
    </cacheField>
    <cacheField name="[Measures].[Sum of CropValue_loss_PHP]" caption="Sum of CropValue_loss_PHP" numFmtId="0" hierarchy="20" level="32767"/>
    <cacheField name="[Table1].[Year].[Year]" caption="Year" numFmtId="0" hierarchy="11" level="1">
      <sharedItems containsSemiMixedTypes="0" containsNonDate="0" containsString="0"/>
    </cacheField>
  </cacheFields>
  <cacheHierarchies count="21">
    <cacheHierarchy uniqueName="[Table1].[RecordID]" caption="RecordID" attribute="1" defaultMemberUniqueName="[Table1].[RecordID].[All]" allUniqueName="[Table1].[Record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arangay]" caption="Barangay" attribute="1" defaultMemberUniqueName="[Table1].[Barangay].[All]" allUniqueName="[Table1].[Barangay].[All]" dimensionUniqueName="[Table1]" displayFolder="" count="2" memberValueDatatype="130" unbalanced="0">
      <fieldsUsage count="2">
        <fieldUsage x="-1"/>
        <fieldUsage x="0"/>
      </fieldsUsage>
    </cacheHierarchy>
    <cacheHierarchy uniqueName="[Table1].[FarmType]" caption="FarmType" attribute="1" defaultMemberUniqueName="[Table1].[FarmType].[All]" allUniqueName="[Table1].[FarmType].[All]" dimensionUniqueName="[Table1]" displayFolder="" count="2" memberValueDatatype="130" unbalanced="0">
      <fieldsUsage count="2">
        <fieldUsage x="-1"/>
        <fieldUsage x="1"/>
      </fieldsUsage>
    </cacheHierarchy>
    <cacheHierarchy uniqueName="[Table1].[Area_ha]" caption="Area_ha" attribute="1" defaultMemberUniqueName="[Table1].[Area_ha].[All]" allUniqueName="[Table1].[Area_ha].[All]" dimensionUniqueName="[Table1]" displayFolder="" count="0" memberValueDatatype="5" unbalanced="0"/>
    <cacheHierarchy uniqueName="[Table1].[YieldLoss_tonnes]" caption="YieldLoss_tonnes" attribute="1" defaultMemberUniqueName="[Table1].[YieldLoss_tonnes].[All]" allUniqueName="[Table1].[YieldLoss_tonnes].[All]" dimensionUniqueName="[Table1]" displayFolder="" count="0" memberValueDatatype="5" unbalanced="0"/>
    <cacheHierarchy uniqueName="[Table1].[CropValue_loss_PHP]" caption="CropValue_loss_PHP" attribute="1" defaultMemberUniqueName="[Table1].[CropValue_loss_PHP].[All]" allUniqueName="[Table1].[CropValue_loss_PHP].[All]" dimensionUniqueName="[Table1]" displayFolder="" count="0" memberValueDatatype="20" unbalanced="0"/>
    <cacheHierarchy uniqueName="[Table1].[Cause]" caption="Cause" attribute="1" defaultMemberUniqueName="[Table1].[Cause].[All]" allUniqueName="[Table1].[Cause].[All]" dimensionUniqueName="[Table1]" displayFolder="" count="0" memberValueDatatype="130" unbalanced="0"/>
    <cacheHierarchy uniqueName="[Table1].[DeclaredStateOfCalamity]" caption="DeclaredStateOfCalamity" attribute="1" defaultMemberUniqueName="[Table1].[DeclaredStateOfCalamity].[All]" allUniqueName="[Table1].[DeclaredStateOfCalamity].[All]" dimensionUniqueName="[Table1]" displayFolder="" count="0" memberValueDatatype="130" unbalanced="0"/>
    <cacheHierarchy uniqueName="[Table1].[FarmerCount]" caption="FarmerCount" attribute="1" defaultMemberUniqueName="[Table1].[FarmerCount].[All]" allUniqueName="[Table1].[FarmerCount].[All]" dimensionUniqueName="[Table1]" displayFolder="" count="0" memberValueDatatype="20" unbalanced="0"/>
    <cacheHierarchy uniqueName="[Table1].[RecoveryCost_PHP]" caption="RecoveryCost_PHP" attribute="1" defaultMemberUniqueName="[Table1].[RecoveryCost_PHP].[All]" allUniqueName="[Table1].[RecoveryCost_PHP].[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rmerCount]" caption="Sum of FarmerCount" measure="1" displayFolder="" measureGroup="Table1" count="0" hidden="1">
      <extLst>
        <ext xmlns:x15="http://schemas.microsoft.com/office/spreadsheetml/2010/11/main" uri="{B97F6D7D-B522-45F9-BDA1-12C45D357490}">
          <x15:cacheHierarchy aggregatedColumn="9"/>
        </ext>
      </extLst>
    </cacheHierarchy>
    <cacheHierarchy uniqueName="[Measures].[Sum of RecordID]" caption="Sum of RecordID" measure="1" displayFolder="" measureGroup="Table1"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1"/>
        </ext>
      </extLst>
    </cacheHierarchy>
    <cacheHierarchy uniqueName="[Measures].[Count of Cause]" caption="Count of Cause" measure="1" displayFolder="" measureGroup="Table1" count="0" hidden="1">
      <extLst>
        <ext xmlns:x15="http://schemas.microsoft.com/office/spreadsheetml/2010/11/main" uri="{B97F6D7D-B522-45F9-BDA1-12C45D357490}">
          <x15:cacheHierarchy aggregatedColumn="7"/>
        </ext>
      </extLst>
    </cacheHierarchy>
    <cacheHierarchy uniqueName="[Measures].[Sum of RecoveryCost_PHP]" caption="Sum of RecoveryCost_PHP" measure="1" displayFolder="" measureGroup="Table1" count="0" hidden="1">
      <extLst>
        <ext xmlns:x15="http://schemas.microsoft.com/office/spreadsheetml/2010/11/main" uri="{B97F6D7D-B522-45F9-BDA1-12C45D357490}">
          <x15:cacheHierarchy aggregatedColumn="10"/>
        </ext>
      </extLst>
    </cacheHierarchy>
    <cacheHierarchy uniqueName="[Measures].[Sum of YieldLoss_tonnes]" caption="Sum of YieldLoss_tonnes" measure="1" displayFolder="" measureGroup="Table1" count="0" hidden="1">
      <extLst>
        <ext xmlns:x15="http://schemas.microsoft.com/office/spreadsheetml/2010/11/main" uri="{B97F6D7D-B522-45F9-BDA1-12C45D357490}">
          <x15:cacheHierarchy aggregatedColumn="5"/>
        </ext>
      </extLst>
    </cacheHierarchy>
    <cacheHierarchy uniqueName="[Measures].[Sum of CropValue_loss_PHP]" caption="Sum of CropValue_loss_PHP"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l" refreshedDate="46002.69826921296" backgroundQuery="1" createdVersion="3" refreshedVersion="8" minRefreshableVersion="3" recordCount="0" supportSubquery="1" supportAdvancedDrill="1" xr:uid="{05A0082B-731C-4ADE-AC34-85339E573872}">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RecordID]" caption="RecordID" attribute="1" defaultMemberUniqueName="[Table1].[RecordID].[All]" allUniqueName="[Table1].[Record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arangay]" caption="Barangay" attribute="1" defaultMemberUniqueName="[Table1].[Barangay].[All]" allUniqueName="[Table1].[Barangay].[All]" dimensionUniqueName="[Table1]" displayFolder="" count="0" memberValueDatatype="130" unbalanced="0"/>
    <cacheHierarchy uniqueName="[Table1].[FarmType]" caption="FarmType" attribute="1" defaultMemberUniqueName="[Table1].[FarmType].[All]" allUniqueName="[Table1].[FarmType].[All]" dimensionUniqueName="[Table1]" displayFolder="" count="0" memberValueDatatype="130" unbalanced="0"/>
    <cacheHierarchy uniqueName="[Table1].[Area_ha]" caption="Area_ha" attribute="1" defaultMemberUniqueName="[Table1].[Area_ha].[All]" allUniqueName="[Table1].[Area_ha].[All]" dimensionUniqueName="[Table1]" displayFolder="" count="0" memberValueDatatype="5" unbalanced="0"/>
    <cacheHierarchy uniqueName="[Table1].[YieldLoss_tonnes]" caption="YieldLoss_tonnes" attribute="1" defaultMemberUniqueName="[Table1].[YieldLoss_tonnes].[All]" allUniqueName="[Table1].[YieldLoss_tonnes].[All]" dimensionUniqueName="[Table1]" displayFolder="" count="0" memberValueDatatype="5" unbalanced="0"/>
    <cacheHierarchy uniqueName="[Table1].[CropValue_loss_PHP]" caption="CropValue_loss_PHP" attribute="1" defaultMemberUniqueName="[Table1].[CropValue_loss_PHP].[All]" allUniqueName="[Table1].[CropValue_loss_PHP].[All]" dimensionUniqueName="[Table1]" displayFolder="" count="0" memberValueDatatype="20" unbalanced="0"/>
    <cacheHierarchy uniqueName="[Table1].[Cause]" caption="Cause" attribute="1" defaultMemberUniqueName="[Table1].[Cause].[All]" allUniqueName="[Table1].[Cause].[All]" dimensionUniqueName="[Table1]" displayFolder="" count="0" memberValueDatatype="130" unbalanced="0"/>
    <cacheHierarchy uniqueName="[Table1].[DeclaredStateOfCalamity]" caption="DeclaredStateOfCalamity" attribute="1" defaultMemberUniqueName="[Table1].[DeclaredStateOfCalamity].[All]" allUniqueName="[Table1].[DeclaredStateOfCalamity].[All]" dimensionUniqueName="[Table1]" displayFolder="" count="0" memberValueDatatype="130" unbalanced="0"/>
    <cacheHierarchy uniqueName="[Table1].[FarmerCount]" caption="FarmerCount" attribute="1" defaultMemberUniqueName="[Table1].[FarmerCount].[All]" allUniqueName="[Table1].[FarmerCount].[All]" dimensionUniqueName="[Table1]" displayFolder="" count="0" memberValueDatatype="20" unbalanced="0"/>
    <cacheHierarchy uniqueName="[Table1].[RecoveryCost_PHP]" caption="RecoveryCost_PHP" attribute="1" defaultMemberUniqueName="[Table1].[RecoveryCost_PHP].[All]" allUniqueName="[Table1].[RecoveryCost_PHP].[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FarmerCount]" caption="Sum of FarmerCount" measure="1" displayFolder="" measureGroup="Table1" count="0" hidden="1">
      <extLst>
        <ext xmlns:x15="http://schemas.microsoft.com/office/spreadsheetml/2010/11/main" uri="{B97F6D7D-B522-45F9-BDA1-12C45D357490}">
          <x15:cacheHierarchy aggregatedColumn="9"/>
        </ext>
      </extLst>
    </cacheHierarchy>
    <cacheHierarchy uniqueName="[Measures].[Sum of RecordID]" caption="Sum of RecordID" measure="1" displayFolder="" measureGroup="Table1"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1"/>
        </ext>
      </extLst>
    </cacheHierarchy>
    <cacheHierarchy uniqueName="[Measures].[Count of Cause]" caption="Count of Cause" measure="1" displayFolder="" measureGroup="Table1" count="0" hidden="1">
      <extLst>
        <ext xmlns:x15="http://schemas.microsoft.com/office/spreadsheetml/2010/11/main" uri="{B97F6D7D-B522-45F9-BDA1-12C45D357490}">
          <x15:cacheHierarchy aggregatedColumn="7"/>
        </ext>
      </extLst>
    </cacheHierarchy>
    <cacheHierarchy uniqueName="[Measures].[Sum of RecoveryCost_PHP]" caption="Sum of RecoveryCost_PHP" measure="1" displayFolder="" measureGroup="Table1" count="0" hidden="1">
      <extLst>
        <ext xmlns:x15="http://schemas.microsoft.com/office/spreadsheetml/2010/11/main" uri="{B97F6D7D-B522-45F9-BDA1-12C45D357490}">
          <x15:cacheHierarchy aggregatedColumn="10"/>
        </ext>
      </extLst>
    </cacheHierarchy>
    <cacheHierarchy uniqueName="[Measures].[Sum of YieldLoss_tonnes]" caption="Sum of YieldLoss_tonnes" measure="1" displayFolder="" measureGroup="Table1" count="0" hidden="1">
      <extLst>
        <ext xmlns:x15="http://schemas.microsoft.com/office/spreadsheetml/2010/11/main" uri="{B97F6D7D-B522-45F9-BDA1-12C45D357490}">
          <x15:cacheHierarchy aggregatedColumn="5"/>
        </ext>
      </extLst>
    </cacheHierarchy>
    <cacheHierarchy uniqueName="[Measures].[Sum of CropValue_loss_PHP]" caption="Sum of CropValue_loss_PHP"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1164121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9ACE6-AEA0-4FBA-AB45-7036DE500229}" name="PivotTable5" cacheId="3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41:G50" firstHeaderRow="1" firstDataRow="2" firstDataCol="1"/>
  <pivotFields count="4">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6">
    <i>
      <x/>
    </i>
    <i>
      <x v="1"/>
    </i>
    <i>
      <x v="2"/>
    </i>
    <i>
      <x v="3"/>
    </i>
    <i>
      <x v="4"/>
    </i>
    <i t="grand">
      <x/>
    </i>
  </colItems>
  <dataFields count="1">
    <dataField name="Sum of CropValue_loss_PHP" fld="2"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rmLoss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8FDCC-3B04-4225-A957-8EB24E33CF0B}" name="PivotTable4" cacheId="3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8:G37" firstHeaderRow="1" firstDataRow="2"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6">
    <i>
      <x/>
    </i>
    <i>
      <x v="1"/>
    </i>
    <i>
      <x v="2"/>
    </i>
    <i>
      <x v="3"/>
    </i>
    <i>
      <x v="4"/>
    </i>
    <i t="grand">
      <x/>
    </i>
  </colItems>
  <dataFields count="1">
    <dataField name="Sum of YieldLoss_tonnes" fld="1"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rmLoss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083571-F334-4ADB-9D4A-49BA16C69E4F}" name="PivotTable3" cacheId="3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5:G24"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1"/>
  </colFields>
  <colItems count="6">
    <i>
      <x/>
    </i>
    <i>
      <x v="1"/>
    </i>
    <i>
      <x v="2"/>
    </i>
    <i>
      <x v="3"/>
    </i>
    <i>
      <x v="4"/>
    </i>
    <i t="grand">
      <x/>
    </i>
  </colItems>
  <dataFields count="1">
    <dataField name="Sum of RecoveryCost_PHP" fld="0" baseField="0" baseItem="0"/>
  </dataFields>
  <chartFormats count="5">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rmLoss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042742-ED90-40CF-A1C4-97DE447E8054}" name="PivotTable2" cacheId="3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3:J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Fields count="1">
    <field x="1"/>
  </colFields>
  <colItems count="6">
    <i>
      <x/>
    </i>
    <i>
      <x v="1"/>
    </i>
    <i>
      <x v="2"/>
    </i>
    <i>
      <x v="3"/>
    </i>
    <i>
      <x v="4"/>
    </i>
    <i t="grand">
      <x/>
    </i>
  </colItems>
  <dataFields count="1">
    <dataField name="Count of Cause" fld="2" subtotal="count" baseField="0" baseItem="0"/>
  </dataFields>
  <chartFormats count="5">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rmLoss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DF73B9-264E-457D-98B8-5174E4B921CD}" name="PivotTable1" cacheId="3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FarmerCount" fld="0" showDataAs="percentOfTotal" baseField="0" baseItem="0" numFmtId="1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rmLoss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20FAA6-9360-4B51-BD43-C382498FE776}" sourceName="[Table1].[Year]">
  <pivotTables>
    <pivotTable tabId="3" name="PivotTable1"/>
    <pivotTable tabId="3" name="PivotTable2"/>
    <pivotTable tabId="3" name="PivotTable3"/>
    <pivotTable tabId="3" name="PivotTable4"/>
    <pivotTable tabId="3" name="PivotTable5"/>
  </pivotTables>
  <data>
    <olap pivotCacheId="2116412193">
      <levels count="2">
        <level uniqueName="[Table1].[Year].[(All)]" sourceCaption="(All)" count="0"/>
        <level uniqueName="[Table1].[Year].[Year]" sourceCaption="Year" count="5">
          <ranges>
            <range startItem="0">
              <i n="[Table1].[Year].&amp;[2020]" c="2020"/>
              <i n="[Table1].[Year].&amp;[2021]" c="2021"/>
              <i n="[Table1].[Year].&amp;[2022]" c="2022"/>
              <i n="[Table1].[Year].&amp;[2023]" c="2023"/>
              <i n="[Table1].[Year].&amp;[2024]" c="2024"/>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D7A1A5C-E830-4AE5-ACC6-FF60248566C6}" cache="Slicer_Year" caption="Year" columnCount="5" showCaption="0" level="1"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326AB9-3941-4F54-9F58-4F33CED79B0B}" name="Table1" displayName="Table1" ref="A1:L501" totalsRowShown="0">
  <autoFilter ref="A1:L501" xr:uid="{0A326AB9-3941-4F54-9F58-4F33CED79B0B}"/>
  <tableColumns count="12">
    <tableColumn id="1" xr3:uid="{BD1AE478-64A1-472F-9AF8-14202ABA6A2B}" name="RecordID"/>
    <tableColumn id="2" xr3:uid="{107540BE-AD0D-49CE-A04F-4D897856E469}" name="Date" dataDxfId="0"/>
    <tableColumn id="3" xr3:uid="{5A414528-DBD1-4AAE-A4F8-4834918CD77E}" name="Barangay"/>
    <tableColumn id="4" xr3:uid="{549B3A19-62D7-4917-BC8E-2C25F531513A}" name="FarmType"/>
    <tableColumn id="5" xr3:uid="{04166355-52D9-492B-B314-5814BC8836CB}" name="Area_ha"/>
    <tableColumn id="6" xr3:uid="{CC82C7F5-E1E9-442F-986C-27B977D44E8E}" name="YieldLoss_tonnes"/>
    <tableColumn id="7" xr3:uid="{9B684B35-E083-4AA3-B76D-D98477396C24}" name="CropValue_loss_PHP"/>
    <tableColumn id="8" xr3:uid="{E4699625-3232-4413-950F-3E16CFE1C78B}" name="Cause"/>
    <tableColumn id="9" xr3:uid="{8E1800B8-4637-4E73-AB38-49DF87ECA69F}" name="DeclaredStateOfCalamity"/>
    <tableColumn id="10" xr3:uid="{57F859FB-7B75-4BDF-ABE4-997CCC21DEB6}" name="FarmerCount"/>
    <tableColumn id="11" xr3:uid="{62933226-71F0-4B64-B6B7-2333D9D02827}" name="RecoveryCost_PHP"/>
    <tableColumn id="12" xr3:uid="{D24DBD64-33B7-4142-98DA-980D62512B2A}"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6F41-4083-4616-A49B-CD7E05F90CDC}">
  <dimension ref="A1:L501"/>
  <sheetViews>
    <sheetView topLeftCell="A2" zoomScale="55" zoomScaleNormal="55" workbookViewId="0">
      <selection activeCell="D21" sqref="A2:L501"/>
    </sheetView>
  </sheetViews>
  <sheetFormatPr defaultRowHeight="14.5" x14ac:dyDescent="0.35"/>
  <cols>
    <col min="1" max="1" width="10.54296875" customWidth="1"/>
    <col min="2" max="2" width="10.08984375" bestFit="1" customWidth="1"/>
    <col min="3" max="3" width="13.81640625" bestFit="1" customWidth="1"/>
    <col min="4" max="4" width="14.36328125" bestFit="1" customWidth="1"/>
    <col min="5" max="5" width="9.1796875" customWidth="1"/>
    <col min="6" max="6" width="17.26953125" customWidth="1"/>
    <col min="7" max="7" width="19.7265625" customWidth="1"/>
    <col min="8" max="8" width="20" bestFit="1" customWidth="1"/>
    <col min="9" max="9" width="23.7265625" customWidth="1"/>
    <col min="10" max="10" width="13.6328125" customWidth="1"/>
    <col min="11" max="11" width="18.54296875" customWidth="1"/>
    <col min="12" max="12" width="6.453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s="1">
        <v>45471</v>
      </c>
      <c r="C2" t="s">
        <v>12</v>
      </c>
      <c r="D2" t="s">
        <v>13</v>
      </c>
      <c r="E2">
        <v>3.57</v>
      </c>
      <c r="F2">
        <v>4.08</v>
      </c>
      <c r="G2">
        <v>587308</v>
      </c>
      <c r="H2" t="s">
        <v>14</v>
      </c>
      <c r="I2" t="s">
        <v>15</v>
      </c>
      <c r="J2">
        <v>7</v>
      </c>
      <c r="K2">
        <v>170063</v>
      </c>
      <c r="L2">
        <v>2024</v>
      </c>
    </row>
    <row r="3" spans="1:12" x14ac:dyDescent="0.35">
      <c r="A3">
        <v>2</v>
      </c>
      <c r="B3" s="1">
        <v>45120</v>
      </c>
      <c r="C3" t="s">
        <v>16</v>
      </c>
      <c r="D3" t="s">
        <v>13</v>
      </c>
      <c r="E3">
        <v>0.33</v>
      </c>
      <c r="F3">
        <v>2.93</v>
      </c>
      <c r="G3">
        <v>104593</v>
      </c>
      <c r="H3" t="s">
        <v>17</v>
      </c>
      <c r="I3" t="s">
        <v>18</v>
      </c>
      <c r="J3">
        <v>7</v>
      </c>
      <c r="K3">
        <v>274072</v>
      </c>
      <c r="L3">
        <v>2023</v>
      </c>
    </row>
    <row r="4" spans="1:12" x14ac:dyDescent="0.35">
      <c r="A4">
        <v>3</v>
      </c>
      <c r="B4" s="1">
        <v>44427</v>
      </c>
      <c r="C4" t="s">
        <v>12</v>
      </c>
      <c r="D4" t="s">
        <v>19</v>
      </c>
      <c r="E4">
        <v>4.8499999999999996</v>
      </c>
      <c r="F4">
        <v>2.94</v>
      </c>
      <c r="G4">
        <v>652962</v>
      </c>
      <c r="H4" t="s">
        <v>14</v>
      </c>
      <c r="I4" t="s">
        <v>15</v>
      </c>
      <c r="J4">
        <v>23</v>
      </c>
      <c r="K4">
        <v>119555</v>
      </c>
      <c r="L4">
        <v>2021</v>
      </c>
    </row>
    <row r="5" spans="1:12" x14ac:dyDescent="0.35">
      <c r="A5">
        <v>4</v>
      </c>
      <c r="B5" s="1">
        <v>45543</v>
      </c>
      <c r="C5" t="s">
        <v>20</v>
      </c>
      <c r="D5" t="s">
        <v>19</v>
      </c>
      <c r="E5">
        <v>2.42</v>
      </c>
      <c r="F5">
        <v>3.31</v>
      </c>
      <c r="G5">
        <v>937099</v>
      </c>
      <c r="H5" t="s">
        <v>21</v>
      </c>
      <c r="I5" t="s">
        <v>15</v>
      </c>
      <c r="J5">
        <v>28</v>
      </c>
      <c r="K5">
        <v>284381</v>
      </c>
      <c r="L5">
        <v>2024</v>
      </c>
    </row>
    <row r="6" spans="1:12" x14ac:dyDescent="0.35">
      <c r="A6">
        <v>5</v>
      </c>
      <c r="B6" s="1">
        <v>44834</v>
      </c>
      <c r="C6" t="s">
        <v>16</v>
      </c>
      <c r="D6" t="s">
        <v>13</v>
      </c>
      <c r="E6">
        <v>1.95</v>
      </c>
      <c r="F6">
        <v>7.13</v>
      </c>
      <c r="G6">
        <v>462094</v>
      </c>
      <c r="H6" t="s">
        <v>22</v>
      </c>
      <c r="I6" t="s">
        <v>15</v>
      </c>
      <c r="J6">
        <v>27</v>
      </c>
      <c r="K6">
        <v>131618</v>
      </c>
      <c r="L6">
        <v>2022</v>
      </c>
    </row>
    <row r="7" spans="1:12" x14ac:dyDescent="0.35">
      <c r="A7">
        <v>6</v>
      </c>
      <c r="B7" s="1">
        <v>44464</v>
      </c>
      <c r="C7" t="s">
        <v>12</v>
      </c>
      <c r="D7" t="s">
        <v>19</v>
      </c>
      <c r="E7">
        <v>0.69</v>
      </c>
      <c r="F7">
        <v>0.51</v>
      </c>
      <c r="G7">
        <v>542813</v>
      </c>
      <c r="H7" t="s">
        <v>22</v>
      </c>
      <c r="I7" t="s">
        <v>15</v>
      </c>
      <c r="J7">
        <v>12</v>
      </c>
      <c r="K7">
        <v>50582</v>
      </c>
      <c r="L7">
        <v>2021</v>
      </c>
    </row>
    <row r="8" spans="1:12" x14ac:dyDescent="0.35">
      <c r="A8">
        <v>7</v>
      </c>
      <c r="B8" s="1">
        <v>44362</v>
      </c>
      <c r="C8" t="s">
        <v>20</v>
      </c>
      <c r="D8" t="s">
        <v>23</v>
      </c>
      <c r="E8">
        <v>3.79</v>
      </c>
      <c r="F8">
        <v>2.6</v>
      </c>
      <c r="G8">
        <v>307431</v>
      </c>
      <c r="H8" t="s">
        <v>21</v>
      </c>
      <c r="I8" t="s">
        <v>18</v>
      </c>
      <c r="J8">
        <v>20</v>
      </c>
      <c r="K8">
        <v>135537</v>
      </c>
      <c r="L8">
        <v>2021</v>
      </c>
    </row>
    <row r="9" spans="1:12" x14ac:dyDescent="0.35">
      <c r="A9">
        <v>8</v>
      </c>
      <c r="B9" s="1">
        <v>44735</v>
      </c>
      <c r="C9" t="s">
        <v>20</v>
      </c>
      <c r="D9" t="s">
        <v>13</v>
      </c>
      <c r="E9">
        <v>2.86</v>
      </c>
      <c r="F9">
        <v>3.04</v>
      </c>
      <c r="G9">
        <v>222674</v>
      </c>
      <c r="H9" t="s">
        <v>22</v>
      </c>
      <c r="I9" t="s">
        <v>18</v>
      </c>
      <c r="J9">
        <v>33</v>
      </c>
      <c r="K9">
        <v>40954</v>
      </c>
      <c r="L9">
        <v>2022</v>
      </c>
    </row>
    <row r="10" spans="1:12" x14ac:dyDescent="0.35">
      <c r="A10">
        <v>9</v>
      </c>
      <c r="B10" s="1">
        <v>43870</v>
      </c>
      <c r="C10" t="s">
        <v>20</v>
      </c>
      <c r="D10" t="s">
        <v>23</v>
      </c>
      <c r="E10">
        <v>1.1599999999999999</v>
      </c>
      <c r="F10">
        <v>7.42</v>
      </c>
      <c r="G10">
        <v>732323</v>
      </c>
      <c r="H10" t="s">
        <v>21</v>
      </c>
      <c r="I10" t="s">
        <v>15</v>
      </c>
      <c r="J10">
        <v>29</v>
      </c>
      <c r="K10">
        <v>91434</v>
      </c>
      <c r="L10">
        <v>2020</v>
      </c>
    </row>
    <row r="11" spans="1:12" x14ac:dyDescent="0.35">
      <c r="A11">
        <v>10</v>
      </c>
      <c r="B11" s="1">
        <v>45470</v>
      </c>
      <c r="C11" t="s">
        <v>24</v>
      </c>
      <c r="D11" t="s">
        <v>25</v>
      </c>
      <c r="E11">
        <v>2.36</v>
      </c>
      <c r="F11">
        <v>9.01</v>
      </c>
      <c r="G11">
        <v>578586</v>
      </c>
      <c r="H11" t="s">
        <v>26</v>
      </c>
      <c r="I11" t="s">
        <v>18</v>
      </c>
      <c r="J11">
        <v>24</v>
      </c>
      <c r="K11">
        <v>51137</v>
      </c>
      <c r="L11">
        <v>2024</v>
      </c>
    </row>
    <row r="12" spans="1:12" x14ac:dyDescent="0.35">
      <c r="A12">
        <v>11</v>
      </c>
      <c r="B12" s="1">
        <v>44547</v>
      </c>
      <c r="C12" t="s">
        <v>27</v>
      </c>
      <c r="D12" t="s">
        <v>19</v>
      </c>
      <c r="E12">
        <v>4.1500000000000004</v>
      </c>
      <c r="F12">
        <v>7.44</v>
      </c>
      <c r="G12">
        <v>195897</v>
      </c>
      <c r="H12" t="s">
        <v>26</v>
      </c>
      <c r="I12" t="s">
        <v>15</v>
      </c>
      <c r="J12">
        <v>37</v>
      </c>
      <c r="K12">
        <v>124659</v>
      </c>
      <c r="L12">
        <v>2021</v>
      </c>
    </row>
    <row r="13" spans="1:12" x14ac:dyDescent="0.35">
      <c r="A13">
        <v>12</v>
      </c>
      <c r="B13" s="1">
        <v>44522</v>
      </c>
      <c r="C13" t="s">
        <v>28</v>
      </c>
      <c r="D13" t="s">
        <v>23</v>
      </c>
      <c r="E13">
        <v>4.43</v>
      </c>
      <c r="F13">
        <v>0.63</v>
      </c>
      <c r="G13">
        <v>795477</v>
      </c>
      <c r="H13" t="s">
        <v>17</v>
      </c>
      <c r="I13" t="s">
        <v>15</v>
      </c>
      <c r="J13">
        <v>15</v>
      </c>
      <c r="K13">
        <v>166645</v>
      </c>
      <c r="L13">
        <v>2021</v>
      </c>
    </row>
    <row r="14" spans="1:12" x14ac:dyDescent="0.35">
      <c r="A14">
        <v>13</v>
      </c>
      <c r="B14" s="1">
        <v>43860</v>
      </c>
      <c r="C14" t="s">
        <v>12</v>
      </c>
      <c r="D14" t="s">
        <v>25</v>
      </c>
      <c r="E14">
        <v>4.5</v>
      </c>
      <c r="F14">
        <v>3.24</v>
      </c>
      <c r="G14">
        <v>625769</v>
      </c>
      <c r="H14" t="s">
        <v>22</v>
      </c>
      <c r="I14" t="s">
        <v>18</v>
      </c>
      <c r="J14">
        <v>23</v>
      </c>
      <c r="K14">
        <v>107781</v>
      </c>
      <c r="L14">
        <v>2020</v>
      </c>
    </row>
    <row r="15" spans="1:12" x14ac:dyDescent="0.35">
      <c r="A15">
        <v>14</v>
      </c>
      <c r="B15" s="1">
        <v>44396</v>
      </c>
      <c r="C15" t="s">
        <v>27</v>
      </c>
      <c r="D15" t="s">
        <v>29</v>
      </c>
      <c r="E15">
        <v>4.53</v>
      </c>
      <c r="F15">
        <v>5.52</v>
      </c>
      <c r="G15">
        <v>100538</v>
      </c>
      <c r="H15" t="s">
        <v>22</v>
      </c>
      <c r="I15" t="s">
        <v>18</v>
      </c>
      <c r="J15">
        <v>48</v>
      </c>
      <c r="K15">
        <v>131398</v>
      </c>
      <c r="L15">
        <v>2021</v>
      </c>
    </row>
    <row r="16" spans="1:12" x14ac:dyDescent="0.35">
      <c r="A16">
        <v>15</v>
      </c>
      <c r="B16" s="1">
        <v>45155</v>
      </c>
      <c r="C16" t="s">
        <v>16</v>
      </c>
      <c r="D16" t="s">
        <v>23</v>
      </c>
      <c r="E16">
        <v>2.11</v>
      </c>
      <c r="F16">
        <v>4.17</v>
      </c>
      <c r="G16">
        <v>104947</v>
      </c>
      <c r="H16" t="s">
        <v>21</v>
      </c>
      <c r="I16" t="s">
        <v>15</v>
      </c>
      <c r="J16">
        <v>21</v>
      </c>
      <c r="K16">
        <v>164146</v>
      </c>
      <c r="L16">
        <v>2023</v>
      </c>
    </row>
    <row r="17" spans="1:12" x14ac:dyDescent="0.35">
      <c r="A17">
        <v>16</v>
      </c>
      <c r="B17" s="1">
        <v>45419</v>
      </c>
      <c r="C17" t="s">
        <v>24</v>
      </c>
      <c r="D17" t="s">
        <v>19</v>
      </c>
      <c r="E17">
        <v>4.43</v>
      </c>
      <c r="F17">
        <v>0.84</v>
      </c>
      <c r="G17">
        <v>976561</v>
      </c>
      <c r="H17" t="s">
        <v>22</v>
      </c>
      <c r="I17" t="s">
        <v>15</v>
      </c>
      <c r="J17">
        <v>2</v>
      </c>
      <c r="K17">
        <v>243843</v>
      </c>
      <c r="L17">
        <v>2024</v>
      </c>
    </row>
    <row r="18" spans="1:12" x14ac:dyDescent="0.35">
      <c r="A18">
        <v>17</v>
      </c>
      <c r="B18" s="1">
        <v>44267</v>
      </c>
      <c r="C18" t="s">
        <v>20</v>
      </c>
      <c r="D18" t="s">
        <v>25</v>
      </c>
      <c r="E18">
        <v>4.96</v>
      </c>
      <c r="F18">
        <v>5.36</v>
      </c>
      <c r="G18">
        <v>977632</v>
      </c>
      <c r="H18" t="s">
        <v>21</v>
      </c>
      <c r="I18" t="s">
        <v>15</v>
      </c>
      <c r="J18">
        <v>38</v>
      </c>
      <c r="K18">
        <v>140244</v>
      </c>
      <c r="L18">
        <v>2021</v>
      </c>
    </row>
    <row r="19" spans="1:12" x14ac:dyDescent="0.35">
      <c r="A19">
        <v>18</v>
      </c>
      <c r="B19" s="1">
        <v>44953</v>
      </c>
      <c r="C19" t="s">
        <v>16</v>
      </c>
      <c r="D19" t="s">
        <v>13</v>
      </c>
      <c r="E19">
        <v>3.35</v>
      </c>
      <c r="F19">
        <v>3.75</v>
      </c>
      <c r="G19">
        <v>269729</v>
      </c>
      <c r="H19" t="s">
        <v>22</v>
      </c>
      <c r="I19" t="s">
        <v>15</v>
      </c>
      <c r="J19">
        <v>14</v>
      </c>
      <c r="K19">
        <v>121138</v>
      </c>
      <c r="L19">
        <v>2023</v>
      </c>
    </row>
    <row r="20" spans="1:12" x14ac:dyDescent="0.35">
      <c r="A20">
        <v>19</v>
      </c>
      <c r="B20" s="1">
        <v>45057</v>
      </c>
      <c r="C20" t="s">
        <v>27</v>
      </c>
      <c r="D20" t="s">
        <v>23</v>
      </c>
      <c r="E20">
        <v>0.3</v>
      </c>
      <c r="F20">
        <v>2.12</v>
      </c>
      <c r="G20">
        <v>610358</v>
      </c>
      <c r="H20" t="s">
        <v>14</v>
      </c>
      <c r="I20" t="s">
        <v>15</v>
      </c>
      <c r="J20">
        <v>21</v>
      </c>
      <c r="K20">
        <v>59890</v>
      </c>
      <c r="L20">
        <v>2023</v>
      </c>
    </row>
    <row r="21" spans="1:12" x14ac:dyDescent="0.35">
      <c r="A21">
        <v>20</v>
      </c>
      <c r="B21" s="1">
        <v>44329</v>
      </c>
      <c r="C21" t="s">
        <v>12</v>
      </c>
      <c r="D21" t="s">
        <v>29</v>
      </c>
      <c r="E21">
        <v>4.74</v>
      </c>
      <c r="F21">
        <v>1.79</v>
      </c>
      <c r="G21">
        <v>148693</v>
      </c>
      <c r="H21" t="s">
        <v>17</v>
      </c>
      <c r="I21" t="s">
        <v>15</v>
      </c>
      <c r="J21">
        <v>39</v>
      </c>
      <c r="K21">
        <v>80678</v>
      </c>
      <c r="L21">
        <v>2021</v>
      </c>
    </row>
    <row r="22" spans="1:12" x14ac:dyDescent="0.35">
      <c r="A22">
        <v>21</v>
      </c>
      <c r="B22" s="1">
        <v>45450</v>
      </c>
      <c r="C22" t="s">
        <v>20</v>
      </c>
      <c r="D22" t="s">
        <v>13</v>
      </c>
      <c r="E22">
        <v>1.46</v>
      </c>
      <c r="F22">
        <v>2.0299999999999998</v>
      </c>
      <c r="G22">
        <v>726510</v>
      </c>
      <c r="H22" t="s">
        <v>14</v>
      </c>
      <c r="I22" t="s">
        <v>15</v>
      </c>
      <c r="J22">
        <v>38</v>
      </c>
      <c r="K22">
        <v>70529</v>
      </c>
      <c r="L22">
        <v>2024</v>
      </c>
    </row>
    <row r="23" spans="1:12" x14ac:dyDescent="0.35">
      <c r="A23">
        <v>22</v>
      </c>
      <c r="B23" s="1">
        <v>43843</v>
      </c>
      <c r="C23" t="s">
        <v>30</v>
      </c>
      <c r="D23" t="s">
        <v>23</v>
      </c>
      <c r="E23">
        <v>3.1</v>
      </c>
      <c r="F23">
        <v>9.1199999999999992</v>
      </c>
      <c r="G23">
        <v>904307</v>
      </c>
      <c r="H23" t="s">
        <v>21</v>
      </c>
      <c r="I23" t="s">
        <v>18</v>
      </c>
      <c r="J23">
        <v>33</v>
      </c>
      <c r="K23">
        <v>152361</v>
      </c>
      <c r="L23">
        <v>2020</v>
      </c>
    </row>
    <row r="24" spans="1:12" x14ac:dyDescent="0.35">
      <c r="A24">
        <v>23</v>
      </c>
      <c r="B24" s="1">
        <v>45217</v>
      </c>
      <c r="C24" t="s">
        <v>20</v>
      </c>
      <c r="D24" t="s">
        <v>13</v>
      </c>
      <c r="E24">
        <v>3.03</v>
      </c>
      <c r="F24">
        <v>7.06</v>
      </c>
      <c r="G24">
        <v>629867</v>
      </c>
      <c r="H24" t="s">
        <v>22</v>
      </c>
      <c r="I24" t="s">
        <v>18</v>
      </c>
      <c r="J24">
        <v>31</v>
      </c>
      <c r="K24">
        <v>60047</v>
      </c>
      <c r="L24">
        <v>2023</v>
      </c>
    </row>
    <row r="25" spans="1:12" x14ac:dyDescent="0.35">
      <c r="A25">
        <v>24</v>
      </c>
      <c r="B25" s="1">
        <v>45383</v>
      </c>
      <c r="C25" t="s">
        <v>16</v>
      </c>
      <c r="D25" t="s">
        <v>29</v>
      </c>
      <c r="E25">
        <v>4.1900000000000004</v>
      </c>
      <c r="F25">
        <v>9.08</v>
      </c>
      <c r="G25">
        <v>257914</v>
      </c>
      <c r="H25" t="s">
        <v>14</v>
      </c>
      <c r="I25" t="s">
        <v>15</v>
      </c>
      <c r="J25">
        <v>35</v>
      </c>
      <c r="K25">
        <v>51060</v>
      </c>
      <c r="L25">
        <v>2024</v>
      </c>
    </row>
    <row r="26" spans="1:12" x14ac:dyDescent="0.35">
      <c r="A26">
        <v>25</v>
      </c>
      <c r="B26" s="1">
        <v>45190</v>
      </c>
      <c r="C26" t="s">
        <v>28</v>
      </c>
      <c r="D26" t="s">
        <v>29</v>
      </c>
      <c r="E26">
        <v>0.92</v>
      </c>
      <c r="F26">
        <v>7.15</v>
      </c>
      <c r="G26">
        <v>131017</v>
      </c>
      <c r="H26" t="s">
        <v>21</v>
      </c>
      <c r="I26" t="s">
        <v>18</v>
      </c>
      <c r="J26">
        <v>22</v>
      </c>
      <c r="K26">
        <v>221564</v>
      </c>
      <c r="L26">
        <v>2023</v>
      </c>
    </row>
    <row r="27" spans="1:12" x14ac:dyDescent="0.35">
      <c r="A27">
        <v>26</v>
      </c>
      <c r="B27" s="1">
        <v>45020</v>
      </c>
      <c r="C27" t="s">
        <v>20</v>
      </c>
      <c r="D27" t="s">
        <v>29</v>
      </c>
      <c r="E27">
        <v>2.69</v>
      </c>
      <c r="F27">
        <v>1.27</v>
      </c>
      <c r="G27">
        <v>949101</v>
      </c>
      <c r="H27" t="s">
        <v>14</v>
      </c>
      <c r="I27" t="s">
        <v>15</v>
      </c>
      <c r="J27">
        <v>5</v>
      </c>
      <c r="K27">
        <v>259037</v>
      </c>
      <c r="L27">
        <v>2023</v>
      </c>
    </row>
    <row r="28" spans="1:12" x14ac:dyDescent="0.35">
      <c r="A28">
        <v>27</v>
      </c>
      <c r="B28" s="1">
        <v>44437</v>
      </c>
      <c r="C28" t="s">
        <v>16</v>
      </c>
      <c r="D28" t="s">
        <v>19</v>
      </c>
      <c r="E28">
        <v>4.7</v>
      </c>
      <c r="F28">
        <v>8.57</v>
      </c>
      <c r="G28">
        <v>286382</v>
      </c>
      <c r="H28" t="s">
        <v>22</v>
      </c>
      <c r="I28" t="s">
        <v>15</v>
      </c>
      <c r="J28">
        <v>4</v>
      </c>
      <c r="K28">
        <v>15738</v>
      </c>
      <c r="L28">
        <v>2021</v>
      </c>
    </row>
    <row r="29" spans="1:12" x14ac:dyDescent="0.35">
      <c r="A29">
        <v>28</v>
      </c>
      <c r="B29" s="1">
        <v>44404</v>
      </c>
      <c r="C29" t="s">
        <v>30</v>
      </c>
      <c r="D29" t="s">
        <v>29</v>
      </c>
      <c r="E29">
        <v>4.43</v>
      </c>
      <c r="F29">
        <v>7.22</v>
      </c>
      <c r="G29">
        <v>623449</v>
      </c>
      <c r="H29" t="s">
        <v>26</v>
      </c>
      <c r="I29" t="s">
        <v>15</v>
      </c>
      <c r="J29">
        <v>29</v>
      </c>
      <c r="K29">
        <v>141482</v>
      </c>
      <c r="L29">
        <v>2021</v>
      </c>
    </row>
    <row r="30" spans="1:12" x14ac:dyDescent="0.35">
      <c r="A30">
        <v>29</v>
      </c>
      <c r="B30" s="1">
        <v>44689</v>
      </c>
      <c r="C30" t="s">
        <v>12</v>
      </c>
      <c r="D30" t="s">
        <v>23</v>
      </c>
      <c r="E30">
        <v>1.3</v>
      </c>
      <c r="F30">
        <v>5.14</v>
      </c>
      <c r="G30">
        <v>262864</v>
      </c>
      <c r="H30" t="s">
        <v>17</v>
      </c>
      <c r="I30" t="s">
        <v>18</v>
      </c>
      <c r="J30">
        <v>23</v>
      </c>
      <c r="K30">
        <v>125712</v>
      </c>
      <c r="L30">
        <v>2022</v>
      </c>
    </row>
    <row r="31" spans="1:12" x14ac:dyDescent="0.35">
      <c r="A31">
        <v>30</v>
      </c>
      <c r="B31" s="1">
        <v>45245</v>
      </c>
      <c r="C31" t="s">
        <v>16</v>
      </c>
      <c r="D31" t="s">
        <v>23</v>
      </c>
      <c r="E31">
        <v>1.97</v>
      </c>
      <c r="F31">
        <v>9.7200000000000006</v>
      </c>
      <c r="G31">
        <v>773213</v>
      </c>
      <c r="H31" t="s">
        <v>26</v>
      </c>
      <c r="I31" t="s">
        <v>15</v>
      </c>
      <c r="J31">
        <v>15</v>
      </c>
      <c r="K31">
        <v>272878</v>
      </c>
      <c r="L31">
        <v>2023</v>
      </c>
    </row>
    <row r="32" spans="1:12" x14ac:dyDescent="0.35">
      <c r="A32">
        <v>31</v>
      </c>
      <c r="B32" s="1">
        <v>44331</v>
      </c>
      <c r="C32" t="s">
        <v>16</v>
      </c>
      <c r="D32" t="s">
        <v>19</v>
      </c>
      <c r="E32">
        <v>1.96</v>
      </c>
      <c r="F32">
        <v>6.54</v>
      </c>
      <c r="G32">
        <v>87162</v>
      </c>
      <c r="H32" t="s">
        <v>26</v>
      </c>
      <c r="I32" t="s">
        <v>18</v>
      </c>
      <c r="J32">
        <v>44</v>
      </c>
      <c r="K32">
        <v>150814</v>
      </c>
      <c r="L32">
        <v>2021</v>
      </c>
    </row>
    <row r="33" spans="1:12" x14ac:dyDescent="0.35">
      <c r="A33">
        <v>32</v>
      </c>
      <c r="B33" s="1">
        <v>45014</v>
      </c>
      <c r="C33" t="s">
        <v>27</v>
      </c>
      <c r="D33" t="s">
        <v>29</v>
      </c>
      <c r="E33">
        <v>3.09</v>
      </c>
      <c r="F33">
        <v>8.25</v>
      </c>
      <c r="G33">
        <v>686594</v>
      </c>
      <c r="H33" t="s">
        <v>26</v>
      </c>
      <c r="I33" t="s">
        <v>18</v>
      </c>
      <c r="J33">
        <v>22</v>
      </c>
      <c r="K33">
        <v>257647</v>
      </c>
      <c r="L33">
        <v>2023</v>
      </c>
    </row>
    <row r="34" spans="1:12" x14ac:dyDescent="0.35">
      <c r="A34">
        <v>33</v>
      </c>
      <c r="B34" s="1">
        <v>44129</v>
      </c>
      <c r="C34" t="s">
        <v>30</v>
      </c>
      <c r="D34" t="s">
        <v>23</v>
      </c>
      <c r="E34">
        <v>3.62</v>
      </c>
      <c r="F34">
        <v>4.09</v>
      </c>
      <c r="G34">
        <v>130601</v>
      </c>
      <c r="H34" t="s">
        <v>21</v>
      </c>
      <c r="I34" t="s">
        <v>18</v>
      </c>
      <c r="J34">
        <v>23</v>
      </c>
      <c r="K34">
        <v>204598</v>
      </c>
      <c r="L34">
        <v>2020</v>
      </c>
    </row>
    <row r="35" spans="1:12" x14ac:dyDescent="0.35">
      <c r="A35">
        <v>34</v>
      </c>
      <c r="B35" s="1">
        <v>45244</v>
      </c>
      <c r="C35" t="s">
        <v>27</v>
      </c>
      <c r="D35" t="s">
        <v>29</v>
      </c>
      <c r="E35">
        <v>4.16</v>
      </c>
      <c r="F35">
        <v>2.4700000000000002</v>
      </c>
      <c r="G35">
        <v>917552</v>
      </c>
      <c r="H35" t="s">
        <v>22</v>
      </c>
      <c r="I35" t="s">
        <v>15</v>
      </c>
      <c r="J35">
        <v>38</v>
      </c>
      <c r="K35">
        <v>205358</v>
      </c>
      <c r="L35">
        <v>2023</v>
      </c>
    </row>
    <row r="36" spans="1:12" x14ac:dyDescent="0.35">
      <c r="A36">
        <v>35</v>
      </c>
      <c r="B36" s="1">
        <v>45190</v>
      </c>
      <c r="C36" t="s">
        <v>12</v>
      </c>
      <c r="D36" t="s">
        <v>19</v>
      </c>
      <c r="E36">
        <v>4.68</v>
      </c>
      <c r="F36">
        <v>2.13</v>
      </c>
      <c r="G36">
        <v>607190</v>
      </c>
      <c r="H36" t="s">
        <v>14</v>
      </c>
      <c r="I36" t="s">
        <v>15</v>
      </c>
      <c r="J36">
        <v>20</v>
      </c>
      <c r="K36">
        <v>58700</v>
      </c>
      <c r="L36">
        <v>2023</v>
      </c>
    </row>
    <row r="37" spans="1:12" x14ac:dyDescent="0.35">
      <c r="A37">
        <v>36</v>
      </c>
      <c r="B37" s="1">
        <v>45309</v>
      </c>
      <c r="C37" t="s">
        <v>16</v>
      </c>
      <c r="D37" t="s">
        <v>29</v>
      </c>
      <c r="E37">
        <v>2.52</v>
      </c>
      <c r="F37">
        <v>5.28</v>
      </c>
      <c r="G37">
        <v>441773</v>
      </c>
      <c r="H37" t="s">
        <v>21</v>
      </c>
      <c r="I37" t="s">
        <v>15</v>
      </c>
      <c r="J37">
        <v>32</v>
      </c>
      <c r="K37">
        <v>130076</v>
      </c>
      <c r="L37">
        <v>2024</v>
      </c>
    </row>
    <row r="38" spans="1:12" x14ac:dyDescent="0.35">
      <c r="A38">
        <v>37</v>
      </c>
      <c r="B38" s="1">
        <v>45145</v>
      </c>
      <c r="C38" t="s">
        <v>30</v>
      </c>
      <c r="D38" t="s">
        <v>25</v>
      </c>
      <c r="E38">
        <v>1.26</v>
      </c>
      <c r="F38">
        <v>6.52</v>
      </c>
      <c r="G38">
        <v>256213</v>
      </c>
      <c r="H38" t="s">
        <v>26</v>
      </c>
      <c r="I38" t="s">
        <v>15</v>
      </c>
      <c r="J38">
        <v>20</v>
      </c>
      <c r="K38">
        <v>33419</v>
      </c>
      <c r="L38">
        <v>2023</v>
      </c>
    </row>
    <row r="39" spans="1:12" x14ac:dyDescent="0.35">
      <c r="A39">
        <v>38</v>
      </c>
      <c r="B39" s="1">
        <v>43837</v>
      </c>
      <c r="C39" t="s">
        <v>24</v>
      </c>
      <c r="D39" t="s">
        <v>23</v>
      </c>
      <c r="E39">
        <v>0.88</v>
      </c>
      <c r="F39">
        <v>1.87</v>
      </c>
      <c r="G39">
        <v>845468</v>
      </c>
      <c r="H39" t="s">
        <v>17</v>
      </c>
      <c r="I39" t="s">
        <v>18</v>
      </c>
      <c r="J39">
        <v>24</v>
      </c>
      <c r="K39">
        <v>54254</v>
      </c>
      <c r="L39">
        <v>2020</v>
      </c>
    </row>
    <row r="40" spans="1:12" x14ac:dyDescent="0.35">
      <c r="A40">
        <v>39</v>
      </c>
      <c r="B40" s="1">
        <v>44885</v>
      </c>
      <c r="C40" t="s">
        <v>16</v>
      </c>
      <c r="D40" t="s">
        <v>23</v>
      </c>
      <c r="E40">
        <v>0.56000000000000005</v>
      </c>
      <c r="F40">
        <v>2.0699999999999998</v>
      </c>
      <c r="G40">
        <v>162973</v>
      </c>
      <c r="H40" t="s">
        <v>21</v>
      </c>
      <c r="I40" t="s">
        <v>15</v>
      </c>
      <c r="J40">
        <v>45</v>
      </c>
      <c r="K40">
        <v>243219</v>
      </c>
      <c r="L40">
        <v>2022</v>
      </c>
    </row>
    <row r="41" spans="1:12" x14ac:dyDescent="0.35">
      <c r="A41">
        <v>40</v>
      </c>
      <c r="B41" s="1">
        <v>44872</v>
      </c>
      <c r="C41" t="s">
        <v>28</v>
      </c>
      <c r="D41" t="s">
        <v>23</v>
      </c>
      <c r="E41">
        <v>3.23</v>
      </c>
      <c r="F41">
        <v>2.5099999999999998</v>
      </c>
      <c r="G41">
        <v>537040</v>
      </c>
      <c r="H41" t="s">
        <v>26</v>
      </c>
      <c r="I41" t="s">
        <v>18</v>
      </c>
      <c r="J41">
        <v>35</v>
      </c>
      <c r="K41">
        <v>79993</v>
      </c>
      <c r="L41">
        <v>2022</v>
      </c>
    </row>
    <row r="42" spans="1:12" x14ac:dyDescent="0.35">
      <c r="A42">
        <v>41</v>
      </c>
      <c r="B42" s="1">
        <v>45650</v>
      </c>
      <c r="C42" t="s">
        <v>20</v>
      </c>
      <c r="D42" t="s">
        <v>23</v>
      </c>
      <c r="E42">
        <v>0.73</v>
      </c>
      <c r="F42">
        <v>4.07</v>
      </c>
      <c r="G42">
        <v>537729</v>
      </c>
      <c r="H42" t="s">
        <v>26</v>
      </c>
      <c r="I42" t="s">
        <v>15</v>
      </c>
      <c r="J42">
        <v>34</v>
      </c>
      <c r="K42">
        <v>251948</v>
      </c>
      <c r="L42">
        <v>2024</v>
      </c>
    </row>
    <row r="43" spans="1:12" x14ac:dyDescent="0.35">
      <c r="A43">
        <v>42</v>
      </c>
      <c r="B43" s="1">
        <v>45231</v>
      </c>
      <c r="C43" t="s">
        <v>12</v>
      </c>
      <c r="D43" t="s">
        <v>29</v>
      </c>
      <c r="E43">
        <v>3.58</v>
      </c>
      <c r="F43">
        <v>6.97</v>
      </c>
      <c r="G43">
        <v>571439</v>
      </c>
      <c r="H43" t="s">
        <v>17</v>
      </c>
      <c r="I43" t="s">
        <v>18</v>
      </c>
      <c r="J43">
        <v>14</v>
      </c>
      <c r="K43">
        <v>120959</v>
      </c>
      <c r="L43">
        <v>2023</v>
      </c>
    </row>
    <row r="44" spans="1:12" x14ac:dyDescent="0.35">
      <c r="A44">
        <v>43</v>
      </c>
      <c r="B44" s="1">
        <v>44699</v>
      </c>
      <c r="C44" t="s">
        <v>16</v>
      </c>
      <c r="D44" t="s">
        <v>23</v>
      </c>
      <c r="E44">
        <v>2.4900000000000002</v>
      </c>
      <c r="F44">
        <v>9.44</v>
      </c>
      <c r="G44">
        <v>689592</v>
      </c>
      <c r="H44" t="s">
        <v>17</v>
      </c>
      <c r="I44" t="s">
        <v>15</v>
      </c>
      <c r="J44">
        <v>26</v>
      </c>
      <c r="K44">
        <v>268644</v>
      </c>
      <c r="L44">
        <v>2022</v>
      </c>
    </row>
    <row r="45" spans="1:12" x14ac:dyDescent="0.35">
      <c r="A45">
        <v>44</v>
      </c>
      <c r="B45" s="1">
        <v>44295</v>
      </c>
      <c r="C45" t="s">
        <v>12</v>
      </c>
      <c r="D45" t="s">
        <v>25</v>
      </c>
      <c r="E45">
        <v>0.54</v>
      </c>
      <c r="F45">
        <v>1.34</v>
      </c>
      <c r="G45">
        <v>79051</v>
      </c>
      <c r="H45" t="s">
        <v>22</v>
      </c>
      <c r="I45" t="s">
        <v>18</v>
      </c>
      <c r="J45">
        <v>18</v>
      </c>
      <c r="K45">
        <v>230484</v>
      </c>
      <c r="L45">
        <v>2021</v>
      </c>
    </row>
    <row r="46" spans="1:12" x14ac:dyDescent="0.35">
      <c r="A46">
        <v>45</v>
      </c>
      <c r="B46" s="1">
        <v>44200</v>
      </c>
      <c r="C46" t="s">
        <v>16</v>
      </c>
      <c r="D46" t="s">
        <v>13</v>
      </c>
      <c r="E46">
        <v>2.12</v>
      </c>
      <c r="F46">
        <v>4.49</v>
      </c>
      <c r="G46">
        <v>374932</v>
      </c>
      <c r="H46" t="s">
        <v>26</v>
      </c>
      <c r="I46" t="s">
        <v>15</v>
      </c>
      <c r="J46">
        <v>41</v>
      </c>
      <c r="K46">
        <v>123842</v>
      </c>
      <c r="L46">
        <v>2021</v>
      </c>
    </row>
    <row r="47" spans="1:12" x14ac:dyDescent="0.35">
      <c r="A47">
        <v>46</v>
      </c>
      <c r="B47" s="1">
        <v>44706</v>
      </c>
      <c r="C47" t="s">
        <v>27</v>
      </c>
      <c r="D47" t="s">
        <v>13</v>
      </c>
      <c r="E47">
        <v>0.74</v>
      </c>
      <c r="F47">
        <v>4.76</v>
      </c>
      <c r="G47">
        <v>619261</v>
      </c>
      <c r="H47" t="s">
        <v>17</v>
      </c>
      <c r="I47" t="s">
        <v>18</v>
      </c>
      <c r="J47">
        <v>28</v>
      </c>
      <c r="K47">
        <v>122590</v>
      </c>
      <c r="L47">
        <v>2022</v>
      </c>
    </row>
    <row r="48" spans="1:12" x14ac:dyDescent="0.35">
      <c r="A48">
        <v>47</v>
      </c>
      <c r="B48" s="1">
        <v>44529</v>
      </c>
      <c r="C48" t="s">
        <v>27</v>
      </c>
      <c r="D48" t="s">
        <v>13</v>
      </c>
      <c r="E48">
        <v>4.97</v>
      </c>
      <c r="F48">
        <v>2.59</v>
      </c>
      <c r="G48">
        <v>276484</v>
      </c>
      <c r="H48" t="s">
        <v>17</v>
      </c>
      <c r="I48" t="s">
        <v>18</v>
      </c>
      <c r="J48">
        <v>23</v>
      </c>
      <c r="K48">
        <v>19441</v>
      </c>
      <c r="L48">
        <v>2021</v>
      </c>
    </row>
    <row r="49" spans="1:12" x14ac:dyDescent="0.35">
      <c r="A49">
        <v>48</v>
      </c>
      <c r="B49" s="1">
        <v>44804</v>
      </c>
      <c r="C49" t="s">
        <v>16</v>
      </c>
      <c r="D49" t="s">
        <v>13</v>
      </c>
      <c r="E49">
        <v>4.46</v>
      </c>
      <c r="F49">
        <v>7.39</v>
      </c>
      <c r="G49">
        <v>735151</v>
      </c>
      <c r="H49" t="s">
        <v>17</v>
      </c>
      <c r="I49" t="s">
        <v>15</v>
      </c>
      <c r="J49">
        <v>19</v>
      </c>
      <c r="K49">
        <v>132761</v>
      </c>
      <c r="L49">
        <v>2022</v>
      </c>
    </row>
    <row r="50" spans="1:12" x14ac:dyDescent="0.35">
      <c r="A50">
        <v>49</v>
      </c>
      <c r="B50" s="1">
        <v>44917</v>
      </c>
      <c r="C50" t="s">
        <v>27</v>
      </c>
      <c r="D50" t="s">
        <v>23</v>
      </c>
      <c r="E50">
        <v>2.2999999999999998</v>
      </c>
      <c r="F50">
        <v>7.46</v>
      </c>
      <c r="G50">
        <v>560223</v>
      </c>
      <c r="H50" t="s">
        <v>14</v>
      </c>
      <c r="I50" t="s">
        <v>18</v>
      </c>
      <c r="J50">
        <v>16</v>
      </c>
      <c r="K50">
        <v>83373</v>
      </c>
      <c r="L50">
        <v>2022</v>
      </c>
    </row>
    <row r="51" spans="1:12" x14ac:dyDescent="0.35">
      <c r="A51">
        <v>50</v>
      </c>
      <c r="B51" s="1">
        <v>44472</v>
      </c>
      <c r="C51" t="s">
        <v>20</v>
      </c>
      <c r="D51" t="s">
        <v>29</v>
      </c>
      <c r="E51">
        <v>4.8</v>
      </c>
      <c r="F51">
        <v>3.92</v>
      </c>
      <c r="G51">
        <v>277872</v>
      </c>
      <c r="H51" t="s">
        <v>17</v>
      </c>
      <c r="I51" t="s">
        <v>15</v>
      </c>
      <c r="J51">
        <v>11</v>
      </c>
      <c r="K51">
        <v>246530</v>
      </c>
      <c r="L51">
        <v>2021</v>
      </c>
    </row>
    <row r="52" spans="1:12" x14ac:dyDescent="0.35">
      <c r="A52">
        <v>51</v>
      </c>
      <c r="B52" s="1">
        <v>44570</v>
      </c>
      <c r="C52" t="s">
        <v>12</v>
      </c>
      <c r="D52" t="s">
        <v>25</v>
      </c>
      <c r="E52">
        <v>1.65</v>
      </c>
      <c r="F52">
        <v>0.89</v>
      </c>
      <c r="G52">
        <v>489231</v>
      </c>
      <c r="H52" t="s">
        <v>17</v>
      </c>
      <c r="I52" t="s">
        <v>15</v>
      </c>
      <c r="J52">
        <v>17</v>
      </c>
      <c r="K52">
        <v>116239</v>
      </c>
      <c r="L52">
        <v>2022</v>
      </c>
    </row>
    <row r="53" spans="1:12" x14ac:dyDescent="0.35">
      <c r="A53">
        <v>52</v>
      </c>
      <c r="B53" s="1">
        <v>44912</v>
      </c>
      <c r="C53" t="s">
        <v>16</v>
      </c>
      <c r="D53" t="s">
        <v>23</v>
      </c>
      <c r="E53">
        <v>5</v>
      </c>
      <c r="F53">
        <v>3.3</v>
      </c>
      <c r="G53">
        <v>234854</v>
      </c>
      <c r="H53" t="s">
        <v>26</v>
      </c>
      <c r="I53" t="s">
        <v>18</v>
      </c>
      <c r="J53">
        <v>37</v>
      </c>
      <c r="K53">
        <v>218652</v>
      </c>
      <c r="L53">
        <v>2022</v>
      </c>
    </row>
    <row r="54" spans="1:12" x14ac:dyDescent="0.35">
      <c r="A54">
        <v>53</v>
      </c>
      <c r="B54" s="1">
        <v>45197</v>
      </c>
      <c r="C54" t="s">
        <v>12</v>
      </c>
      <c r="D54" t="s">
        <v>25</v>
      </c>
      <c r="E54">
        <v>0.72</v>
      </c>
      <c r="F54">
        <v>8.81</v>
      </c>
      <c r="G54">
        <v>757997</v>
      </c>
      <c r="H54" t="s">
        <v>14</v>
      </c>
      <c r="I54" t="s">
        <v>15</v>
      </c>
      <c r="J54">
        <v>11</v>
      </c>
      <c r="K54">
        <v>173426</v>
      </c>
      <c r="L54">
        <v>2023</v>
      </c>
    </row>
    <row r="55" spans="1:12" x14ac:dyDescent="0.35">
      <c r="A55">
        <v>54</v>
      </c>
      <c r="B55" s="1">
        <v>44858</v>
      </c>
      <c r="C55" t="s">
        <v>30</v>
      </c>
      <c r="D55" t="s">
        <v>29</v>
      </c>
      <c r="E55">
        <v>0.39</v>
      </c>
      <c r="F55">
        <v>2.65</v>
      </c>
      <c r="G55">
        <v>760067</v>
      </c>
      <c r="H55" t="s">
        <v>22</v>
      </c>
      <c r="I55" t="s">
        <v>15</v>
      </c>
      <c r="J55">
        <v>33</v>
      </c>
      <c r="K55">
        <v>198154</v>
      </c>
      <c r="L55">
        <v>2022</v>
      </c>
    </row>
    <row r="56" spans="1:12" x14ac:dyDescent="0.35">
      <c r="A56">
        <v>55</v>
      </c>
      <c r="B56" s="1">
        <v>45456</v>
      </c>
      <c r="C56" t="s">
        <v>12</v>
      </c>
      <c r="D56" t="s">
        <v>29</v>
      </c>
      <c r="E56">
        <v>1.76</v>
      </c>
      <c r="F56">
        <v>6.77</v>
      </c>
      <c r="G56">
        <v>861614</v>
      </c>
      <c r="H56" t="s">
        <v>14</v>
      </c>
      <c r="I56" t="s">
        <v>18</v>
      </c>
      <c r="J56">
        <v>7</v>
      </c>
      <c r="K56">
        <v>124596</v>
      </c>
      <c r="L56">
        <v>2024</v>
      </c>
    </row>
    <row r="57" spans="1:12" x14ac:dyDescent="0.35">
      <c r="A57">
        <v>56</v>
      </c>
      <c r="B57" s="1">
        <v>45380</v>
      </c>
      <c r="C57" t="s">
        <v>16</v>
      </c>
      <c r="D57" t="s">
        <v>29</v>
      </c>
      <c r="E57">
        <v>2.4</v>
      </c>
      <c r="F57">
        <v>3.39</v>
      </c>
      <c r="G57">
        <v>207601</v>
      </c>
      <c r="H57" t="s">
        <v>22</v>
      </c>
      <c r="I57" t="s">
        <v>15</v>
      </c>
      <c r="J57">
        <v>27</v>
      </c>
      <c r="K57">
        <v>19862</v>
      </c>
      <c r="L57">
        <v>2024</v>
      </c>
    </row>
    <row r="58" spans="1:12" x14ac:dyDescent="0.35">
      <c r="A58">
        <v>57</v>
      </c>
      <c r="B58" s="1">
        <v>43981</v>
      </c>
      <c r="C58" t="s">
        <v>12</v>
      </c>
      <c r="D58" t="s">
        <v>25</v>
      </c>
      <c r="E58">
        <v>2.72</v>
      </c>
      <c r="F58">
        <v>6.67</v>
      </c>
      <c r="G58">
        <v>105258</v>
      </c>
      <c r="H58" t="s">
        <v>21</v>
      </c>
      <c r="I58" t="s">
        <v>15</v>
      </c>
      <c r="J58">
        <v>36</v>
      </c>
      <c r="K58">
        <v>61401</v>
      </c>
      <c r="L58">
        <v>2020</v>
      </c>
    </row>
    <row r="59" spans="1:12" x14ac:dyDescent="0.35">
      <c r="A59">
        <v>58</v>
      </c>
      <c r="B59" s="1">
        <v>44234</v>
      </c>
      <c r="C59" t="s">
        <v>24</v>
      </c>
      <c r="D59" t="s">
        <v>19</v>
      </c>
      <c r="E59">
        <v>0.64</v>
      </c>
      <c r="F59">
        <v>0.72</v>
      </c>
      <c r="G59">
        <v>255642</v>
      </c>
      <c r="H59" t="s">
        <v>22</v>
      </c>
      <c r="I59" t="s">
        <v>18</v>
      </c>
      <c r="J59">
        <v>49</v>
      </c>
      <c r="K59">
        <v>262994</v>
      </c>
      <c r="L59">
        <v>2021</v>
      </c>
    </row>
    <row r="60" spans="1:12" x14ac:dyDescent="0.35">
      <c r="A60">
        <v>59</v>
      </c>
      <c r="B60" s="1">
        <v>45240</v>
      </c>
      <c r="C60" t="s">
        <v>30</v>
      </c>
      <c r="D60" t="s">
        <v>25</v>
      </c>
      <c r="E60">
        <v>0.98</v>
      </c>
      <c r="F60">
        <v>3.44</v>
      </c>
      <c r="G60">
        <v>246210</v>
      </c>
      <c r="H60" t="s">
        <v>17</v>
      </c>
      <c r="I60" t="s">
        <v>18</v>
      </c>
      <c r="J60">
        <v>24</v>
      </c>
      <c r="K60">
        <v>160628</v>
      </c>
      <c r="L60">
        <v>2023</v>
      </c>
    </row>
    <row r="61" spans="1:12" x14ac:dyDescent="0.35">
      <c r="A61">
        <v>60</v>
      </c>
      <c r="B61" s="1">
        <v>45324</v>
      </c>
      <c r="C61" t="s">
        <v>28</v>
      </c>
      <c r="D61" t="s">
        <v>25</v>
      </c>
      <c r="E61">
        <v>0.21</v>
      </c>
      <c r="F61">
        <v>3.16</v>
      </c>
      <c r="G61">
        <v>135082</v>
      </c>
      <c r="H61" t="s">
        <v>22</v>
      </c>
      <c r="I61" t="s">
        <v>18</v>
      </c>
      <c r="J61">
        <v>26</v>
      </c>
      <c r="K61">
        <v>26598</v>
      </c>
      <c r="L61">
        <v>2024</v>
      </c>
    </row>
    <row r="62" spans="1:12" x14ac:dyDescent="0.35">
      <c r="A62">
        <v>61</v>
      </c>
      <c r="B62" s="1">
        <v>44325</v>
      </c>
      <c r="C62" t="s">
        <v>27</v>
      </c>
      <c r="D62" t="s">
        <v>23</v>
      </c>
      <c r="E62">
        <v>2.86</v>
      </c>
      <c r="F62">
        <v>8.77</v>
      </c>
      <c r="G62">
        <v>147719</v>
      </c>
      <c r="H62" t="s">
        <v>14</v>
      </c>
      <c r="I62" t="s">
        <v>18</v>
      </c>
      <c r="J62">
        <v>32</v>
      </c>
      <c r="K62">
        <v>109046</v>
      </c>
      <c r="L62">
        <v>2021</v>
      </c>
    </row>
    <row r="63" spans="1:12" x14ac:dyDescent="0.35">
      <c r="A63">
        <v>62</v>
      </c>
      <c r="B63" s="1">
        <v>43863</v>
      </c>
      <c r="C63" t="s">
        <v>16</v>
      </c>
      <c r="D63" t="s">
        <v>13</v>
      </c>
      <c r="E63">
        <v>1.66</v>
      </c>
      <c r="F63">
        <v>4.03</v>
      </c>
      <c r="G63">
        <v>796412</v>
      </c>
      <c r="H63" t="s">
        <v>14</v>
      </c>
      <c r="I63" t="s">
        <v>18</v>
      </c>
      <c r="J63">
        <v>45</v>
      </c>
      <c r="K63">
        <v>237349</v>
      </c>
      <c r="L63">
        <v>2020</v>
      </c>
    </row>
    <row r="64" spans="1:12" x14ac:dyDescent="0.35">
      <c r="A64">
        <v>63</v>
      </c>
      <c r="B64" s="1">
        <v>44941</v>
      </c>
      <c r="C64" t="s">
        <v>20</v>
      </c>
      <c r="D64" t="s">
        <v>13</v>
      </c>
      <c r="E64">
        <v>4.33</v>
      </c>
      <c r="F64">
        <v>7.46</v>
      </c>
      <c r="G64">
        <v>905075</v>
      </c>
      <c r="H64" t="s">
        <v>21</v>
      </c>
      <c r="I64" t="s">
        <v>18</v>
      </c>
      <c r="J64">
        <v>47</v>
      </c>
      <c r="K64">
        <v>42544</v>
      </c>
      <c r="L64">
        <v>2023</v>
      </c>
    </row>
    <row r="65" spans="1:12" x14ac:dyDescent="0.35">
      <c r="A65">
        <v>64</v>
      </c>
      <c r="B65" s="1">
        <v>44504</v>
      </c>
      <c r="C65" t="s">
        <v>28</v>
      </c>
      <c r="D65" t="s">
        <v>23</v>
      </c>
      <c r="E65">
        <v>0.45</v>
      </c>
      <c r="F65">
        <v>1.17</v>
      </c>
      <c r="G65">
        <v>610724</v>
      </c>
      <c r="H65" t="s">
        <v>26</v>
      </c>
      <c r="I65" t="s">
        <v>18</v>
      </c>
      <c r="J65">
        <v>3</v>
      </c>
      <c r="K65">
        <v>103769</v>
      </c>
      <c r="L65">
        <v>2021</v>
      </c>
    </row>
    <row r="66" spans="1:12" x14ac:dyDescent="0.35">
      <c r="A66">
        <v>65</v>
      </c>
      <c r="B66" s="1">
        <v>45042</v>
      </c>
      <c r="C66" t="s">
        <v>24</v>
      </c>
      <c r="D66" t="s">
        <v>29</v>
      </c>
      <c r="E66">
        <v>0.26</v>
      </c>
      <c r="F66">
        <v>2.7</v>
      </c>
      <c r="G66">
        <v>467747</v>
      </c>
      <c r="H66" t="s">
        <v>17</v>
      </c>
      <c r="I66" t="s">
        <v>18</v>
      </c>
      <c r="J66">
        <v>25</v>
      </c>
      <c r="K66">
        <v>63037</v>
      </c>
      <c r="L66">
        <v>2023</v>
      </c>
    </row>
    <row r="67" spans="1:12" x14ac:dyDescent="0.35">
      <c r="A67">
        <v>66</v>
      </c>
      <c r="B67" s="1">
        <v>44351</v>
      </c>
      <c r="C67" t="s">
        <v>16</v>
      </c>
      <c r="D67" t="s">
        <v>13</v>
      </c>
      <c r="E67">
        <v>3.96</v>
      </c>
      <c r="F67">
        <v>5.73</v>
      </c>
      <c r="G67">
        <v>857955</v>
      </c>
      <c r="H67" t="s">
        <v>26</v>
      </c>
      <c r="I67" t="s">
        <v>15</v>
      </c>
      <c r="J67">
        <v>20</v>
      </c>
      <c r="K67">
        <v>67483</v>
      </c>
      <c r="L67">
        <v>2021</v>
      </c>
    </row>
    <row r="68" spans="1:12" x14ac:dyDescent="0.35">
      <c r="A68">
        <v>67</v>
      </c>
      <c r="B68" s="1">
        <v>45178</v>
      </c>
      <c r="C68" t="s">
        <v>28</v>
      </c>
      <c r="D68" t="s">
        <v>19</v>
      </c>
      <c r="E68">
        <v>3.91</v>
      </c>
      <c r="F68">
        <v>3.04</v>
      </c>
      <c r="G68">
        <v>828864</v>
      </c>
      <c r="H68" t="s">
        <v>26</v>
      </c>
      <c r="I68" t="s">
        <v>15</v>
      </c>
      <c r="J68">
        <v>25</v>
      </c>
      <c r="K68">
        <v>263179</v>
      </c>
      <c r="L68">
        <v>2023</v>
      </c>
    </row>
    <row r="69" spans="1:12" x14ac:dyDescent="0.35">
      <c r="A69">
        <v>68</v>
      </c>
      <c r="B69" s="1">
        <v>43949</v>
      </c>
      <c r="C69" t="s">
        <v>12</v>
      </c>
      <c r="D69" t="s">
        <v>13</v>
      </c>
      <c r="E69">
        <v>1.07</v>
      </c>
      <c r="F69">
        <v>0.81</v>
      </c>
      <c r="G69">
        <v>812087</v>
      </c>
      <c r="H69" t="s">
        <v>22</v>
      </c>
      <c r="I69" t="s">
        <v>18</v>
      </c>
      <c r="J69">
        <v>1</v>
      </c>
      <c r="K69">
        <v>23722</v>
      </c>
      <c r="L69">
        <v>2020</v>
      </c>
    </row>
    <row r="70" spans="1:12" x14ac:dyDescent="0.35">
      <c r="A70">
        <v>69</v>
      </c>
      <c r="B70" s="1">
        <v>45210</v>
      </c>
      <c r="C70" t="s">
        <v>12</v>
      </c>
      <c r="D70" t="s">
        <v>19</v>
      </c>
      <c r="E70">
        <v>1</v>
      </c>
      <c r="F70">
        <v>1.9</v>
      </c>
      <c r="G70">
        <v>981432</v>
      </c>
      <c r="H70" t="s">
        <v>22</v>
      </c>
      <c r="I70" t="s">
        <v>18</v>
      </c>
      <c r="J70">
        <v>8</v>
      </c>
      <c r="K70">
        <v>219055</v>
      </c>
      <c r="L70">
        <v>2023</v>
      </c>
    </row>
    <row r="71" spans="1:12" x14ac:dyDescent="0.35">
      <c r="A71">
        <v>70</v>
      </c>
      <c r="B71" s="1">
        <v>44602</v>
      </c>
      <c r="C71" t="s">
        <v>27</v>
      </c>
      <c r="D71" t="s">
        <v>13</v>
      </c>
      <c r="E71">
        <v>0.83</v>
      </c>
      <c r="F71">
        <v>1.57</v>
      </c>
      <c r="G71">
        <v>480381</v>
      </c>
      <c r="H71" t="s">
        <v>26</v>
      </c>
      <c r="I71" t="s">
        <v>15</v>
      </c>
      <c r="J71">
        <v>21</v>
      </c>
      <c r="K71">
        <v>16385</v>
      </c>
      <c r="L71">
        <v>2022</v>
      </c>
    </row>
    <row r="72" spans="1:12" x14ac:dyDescent="0.35">
      <c r="A72">
        <v>71</v>
      </c>
      <c r="B72" s="1">
        <v>44077</v>
      </c>
      <c r="C72" t="s">
        <v>12</v>
      </c>
      <c r="D72" t="s">
        <v>13</v>
      </c>
      <c r="E72">
        <v>3.48</v>
      </c>
      <c r="F72">
        <v>9.8699999999999992</v>
      </c>
      <c r="G72">
        <v>527372</v>
      </c>
      <c r="H72" t="s">
        <v>17</v>
      </c>
      <c r="I72" t="s">
        <v>15</v>
      </c>
      <c r="J72">
        <v>9</v>
      </c>
      <c r="K72">
        <v>210256</v>
      </c>
      <c r="L72">
        <v>2020</v>
      </c>
    </row>
    <row r="73" spans="1:12" x14ac:dyDescent="0.35">
      <c r="A73">
        <v>72</v>
      </c>
      <c r="B73" s="1">
        <v>44322</v>
      </c>
      <c r="C73" t="s">
        <v>30</v>
      </c>
      <c r="D73" t="s">
        <v>25</v>
      </c>
      <c r="E73">
        <v>0.47</v>
      </c>
      <c r="F73">
        <v>7.1</v>
      </c>
      <c r="G73">
        <v>295817</v>
      </c>
      <c r="H73" t="s">
        <v>17</v>
      </c>
      <c r="I73" t="s">
        <v>15</v>
      </c>
      <c r="J73">
        <v>47</v>
      </c>
      <c r="K73">
        <v>15205</v>
      </c>
      <c r="L73">
        <v>2021</v>
      </c>
    </row>
    <row r="74" spans="1:12" x14ac:dyDescent="0.35">
      <c r="A74">
        <v>73</v>
      </c>
      <c r="B74" s="1">
        <v>44052</v>
      </c>
      <c r="C74" t="s">
        <v>20</v>
      </c>
      <c r="D74" t="s">
        <v>13</v>
      </c>
      <c r="E74">
        <v>0.37</v>
      </c>
      <c r="F74">
        <v>5.98</v>
      </c>
      <c r="G74">
        <v>931935</v>
      </c>
      <c r="H74" t="s">
        <v>14</v>
      </c>
      <c r="I74" t="s">
        <v>15</v>
      </c>
      <c r="J74">
        <v>19</v>
      </c>
      <c r="K74">
        <v>84154</v>
      </c>
      <c r="L74">
        <v>2020</v>
      </c>
    </row>
    <row r="75" spans="1:12" x14ac:dyDescent="0.35">
      <c r="A75">
        <v>74</v>
      </c>
      <c r="B75" s="1">
        <v>45225</v>
      </c>
      <c r="C75" t="s">
        <v>30</v>
      </c>
      <c r="D75" t="s">
        <v>19</v>
      </c>
      <c r="E75">
        <v>2.11</v>
      </c>
      <c r="F75">
        <v>9.1</v>
      </c>
      <c r="G75">
        <v>865369</v>
      </c>
      <c r="H75" t="s">
        <v>14</v>
      </c>
      <c r="I75" t="s">
        <v>15</v>
      </c>
      <c r="J75">
        <v>17</v>
      </c>
      <c r="K75">
        <v>147418</v>
      </c>
      <c r="L75">
        <v>2023</v>
      </c>
    </row>
    <row r="76" spans="1:12" x14ac:dyDescent="0.35">
      <c r="A76">
        <v>75</v>
      </c>
      <c r="B76" s="1">
        <v>45048</v>
      </c>
      <c r="C76" t="s">
        <v>12</v>
      </c>
      <c r="D76" t="s">
        <v>23</v>
      </c>
      <c r="E76">
        <v>0.46</v>
      </c>
      <c r="F76">
        <v>0.56000000000000005</v>
      </c>
      <c r="G76">
        <v>418285</v>
      </c>
      <c r="H76" t="s">
        <v>26</v>
      </c>
      <c r="I76" t="s">
        <v>18</v>
      </c>
      <c r="J76">
        <v>18</v>
      </c>
      <c r="K76">
        <v>187005</v>
      </c>
      <c r="L76">
        <v>2023</v>
      </c>
    </row>
    <row r="77" spans="1:12" x14ac:dyDescent="0.35">
      <c r="A77">
        <v>76</v>
      </c>
      <c r="B77" s="1">
        <v>45320</v>
      </c>
      <c r="C77" t="s">
        <v>12</v>
      </c>
      <c r="D77" t="s">
        <v>25</v>
      </c>
      <c r="E77">
        <v>4.1399999999999997</v>
      </c>
      <c r="F77">
        <v>7.92</v>
      </c>
      <c r="G77">
        <v>439887</v>
      </c>
      <c r="H77" t="s">
        <v>14</v>
      </c>
      <c r="I77" t="s">
        <v>15</v>
      </c>
      <c r="J77">
        <v>27</v>
      </c>
      <c r="K77">
        <v>271121</v>
      </c>
      <c r="L77">
        <v>2024</v>
      </c>
    </row>
    <row r="78" spans="1:12" x14ac:dyDescent="0.35">
      <c r="A78">
        <v>77</v>
      </c>
      <c r="B78" s="1">
        <v>45336</v>
      </c>
      <c r="C78" t="s">
        <v>16</v>
      </c>
      <c r="D78" t="s">
        <v>29</v>
      </c>
      <c r="E78">
        <v>3.75</v>
      </c>
      <c r="F78">
        <v>2.93</v>
      </c>
      <c r="G78">
        <v>727568</v>
      </c>
      <c r="H78" t="s">
        <v>14</v>
      </c>
      <c r="I78" t="s">
        <v>18</v>
      </c>
      <c r="J78">
        <v>1</v>
      </c>
      <c r="K78">
        <v>234784</v>
      </c>
      <c r="L78">
        <v>2024</v>
      </c>
    </row>
    <row r="79" spans="1:12" x14ac:dyDescent="0.35">
      <c r="A79">
        <v>78</v>
      </c>
      <c r="B79" s="1">
        <v>43854</v>
      </c>
      <c r="C79" t="s">
        <v>30</v>
      </c>
      <c r="D79" t="s">
        <v>13</v>
      </c>
      <c r="E79">
        <v>2.63</v>
      </c>
      <c r="F79">
        <v>8.64</v>
      </c>
      <c r="G79">
        <v>738961</v>
      </c>
      <c r="H79" t="s">
        <v>17</v>
      </c>
      <c r="I79" t="s">
        <v>18</v>
      </c>
      <c r="J79">
        <v>41</v>
      </c>
      <c r="K79">
        <v>263739</v>
      </c>
      <c r="L79">
        <v>2020</v>
      </c>
    </row>
    <row r="80" spans="1:12" x14ac:dyDescent="0.35">
      <c r="A80">
        <v>79</v>
      </c>
      <c r="B80" s="1">
        <v>44124</v>
      </c>
      <c r="C80" t="s">
        <v>24</v>
      </c>
      <c r="D80" t="s">
        <v>25</v>
      </c>
      <c r="E80">
        <v>2.25</v>
      </c>
      <c r="F80">
        <v>9.1</v>
      </c>
      <c r="G80">
        <v>569433</v>
      </c>
      <c r="H80" t="s">
        <v>22</v>
      </c>
      <c r="I80" t="s">
        <v>18</v>
      </c>
      <c r="J80">
        <v>19</v>
      </c>
      <c r="K80">
        <v>248574</v>
      </c>
      <c r="L80">
        <v>2020</v>
      </c>
    </row>
    <row r="81" spans="1:12" x14ac:dyDescent="0.35">
      <c r="A81">
        <v>80</v>
      </c>
      <c r="B81" s="1">
        <v>44451</v>
      </c>
      <c r="C81" t="s">
        <v>30</v>
      </c>
      <c r="D81" t="s">
        <v>19</v>
      </c>
      <c r="E81">
        <v>3.02</v>
      </c>
      <c r="F81">
        <v>8.52</v>
      </c>
      <c r="G81">
        <v>307936</v>
      </c>
      <c r="H81" t="s">
        <v>26</v>
      </c>
      <c r="I81" t="s">
        <v>18</v>
      </c>
      <c r="J81">
        <v>18</v>
      </c>
      <c r="K81">
        <v>126876</v>
      </c>
      <c r="L81">
        <v>2021</v>
      </c>
    </row>
    <row r="82" spans="1:12" x14ac:dyDescent="0.35">
      <c r="A82">
        <v>81</v>
      </c>
      <c r="B82" s="1">
        <v>44313</v>
      </c>
      <c r="C82" t="s">
        <v>27</v>
      </c>
      <c r="D82" t="s">
        <v>19</v>
      </c>
      <c r="E82">
        <v>4.29</v>
      </c>
      <c r="F82">
        <v>2.2999999999999998</v>
      </c>
      <c r="G82">
        <v>289222</v>
      </c>
      <c r="H82" t="s">
        <v>26</v>
      </c>
      <c r="I82" t="s">
        <v>15</v>
      </c>
      <c r="J82">
        <v>28</v>
      </c>
      <c r="K82">
        <v>285043</v>
      </c>
      <c r="L82">
        <v>2021</v>
      </c>
    </row>
    <row r="83" spans="1:12" x14ac:dyDescent="0.35">
      <c r="A83">
        <v>82</v>
      </c>
      <c r="B83" s="1">
        <v>45014</v>
      </c>
      <c r="C83" t="s">
        <v>27</v>
      </c>
      <c r="D83" t="s">
        <v>25</v>
      </c>
      <c r="E83">
        <v>4.09</v>
      </c>
      <c r="F83">
        <v>5.12</v>
      </c>
      <c r="G83">
        <v>804066</v>
      </c>
      <c r="H83" t="s">
        <v>17</v>
      </c>
      <c r="I83" t="s">
        <v>15</v>
      </c>
      <c r="J83">
        <v>23</v>
      </c>
      <c r="K83">
        <v>271201</v>
      </c>
      <c r="L83">
        <v>2023</v>
      </c>
    </row>
    <row r="84" spans="1:12" x14ac:dyDescent="0.35">
      <c r="A84">
        <v>83</v>
      </c>
      <c r="B84" s="1">
        <v>43894</v>
      </c>
      <c r="C84" t="s">
        <v>30</v>
      </c>
      <c r="D84" t="s">
        <v>29</v>
      </c>
      <c r="E84">
        <v>3.02</v>
      </c>
      <c r="F84">
        <v>4.3099999999999996</v>
      </c>
      <c r="G84">
        <v>389119</v>
      </c>
      <c r="H84" t="s">
        <v>14</v>
      </c>
      <c r="I84" t="s">
        <v>15</v>
      </c>
      <c r="J84">
        <v>2</v>
      </c>
      <c r="K84">
        <v>189593</v>
      </c>
      <c r="L84">
        <v>2020</v>
      </c>
    </row>
    <row r="85" spans="1:12" x14ac:dyDescent="0.35">
      <c r="A85">
        <v>84</v>
      </c>
      <c r="B85" s="1">
        <v>45020</v>
      </c>
      <c r="C85" t="s">
        <v>16</v>
      </c>
      <c r="D85" t="s">
        <v>29</v>
      </c>
      <c r="E85">
        <v>1.26</v>
      </c>
      <c r="F85">
        <v>7.54</v>
      </c>
      <c r="G85">
        <v>497514</v>
      </c>
      <c r="H85" t="s">
        <v>14</v>
      </c>
      <c r="I85" t="s">
        <v>15</v>
      </c>
      <c r="J85">
        <v>18</v>
      </c>
      <c r="K85">
        <v>217908</v>
      </c>
      <c r="L85">
        <v>2023</v>
      </c>
    </row>
    <row r="86" spans="1:12" x14ac:dyDescent="0.35">
      <c r="A86">
        <v>85</v>
      </c>
      <c r="B86" s="1">
        <v>45418</v>
      </c>
      <c r="C86" t="s">
        <v>27</v>
      </c>
      <c r="D86" t="s">
        <v>29</v>
      </c>
      <c r="E86">
        <v>2.4500000000000002</v>
      </c>
      <c r="F86">
        <v>9.43</v>
      </c>
      <c r="G86">
        <v>238475</v>
      </c>
      <c r="H86" t="s">
        <v>22</v>
      </c>
      <c r="I86" t="s">
        <v>15</v>
      </c>
      <c r="J86">
        <v>9</v>
      </c>
      <c r="K86">
        <v>271173</v>
      </c>
      <c r="L86">
        <v>2024</v>
      </c>
    </row>
    <row r="87" spans="1:12" x14ac:dyDescent="0.35">
      <c r="A87">
        <v>86</v>
      </c>
      <c r="B87" s="1">
        <v>44178</v>
      </c>
      <c r="C87" t="s">
        <v>12</v>
      </c>
      <c r="D87" t="s">
        <v>13</v>
      </c>
      <c r="E87">
        <v>4.1500000000000004</v>
      </c>
      <c r="F87">
        <v>4.57</v>
      </c>
      <c r="G87">
        <v>902901</v>
      </c>
      <c r="H87" t="s">
        <v>17</v>
      </c>
      <c r="I87" t="s">
        <v>15</v>
      </c>
      <c r="J87">
        <v>12</v>
      </c>
      <c r="K87">
        <v>96743</v>
      </c>
      <c r="L87">
        <v>2020</v>
      </c>
    </row>
    <row r="88" spans="1:12" x14ac:dyDescent="0.35">
      <c r="A88">
        <v>87</v>
      </c>
      <c r="B88" s="1">
        <v>45287</v>
      </c>
      <c r="C88" t="s">
        <v>12</v>
      </c>
      <c r="D88" t="s">
        <v>13</v>
      </c>
      <c r="E88">
        <v>4.63</v>
      </c>
      <c r="F88">
        <v>0.15</v>
      </c>
      <c r="G88">
        <v>702895</v>
      </c>
      <c r="H88" t="s">
        <v>26</v>
      </c>
      <c r="I88" t="s">
        <v>15</v>
      </c>
      <c r="J88">
        <v>2</v>
      </c>
      <c r="K88">
        <v>220942</v>
      </c>
      <c r="L88">
        <v>2023</v>
      </c>
    </row>
    <row r="89" spans="1:12" x14ac:dyDescent="0.35">
      <c r="A89">
        <v>88</v>
      </c>
      <c r="B89" s="1">
        <v>44878</v>
      </c>
      <c r="C89" t="s">
        <v>16</v>
      </c>
      <c r="D89" t="s">
        <v>25</v>
      </c>
      <c r="E89">
        <v>2.33</v>
      </c>
      <c r="F89">
        <v>1.18</v>
      </c>
      <c r="G89">
        <v>604894</v>
      </c>
      <c r="H89" t="s">
        <v>21</v>
      </c>
      <c r="I89" t="s">
        <v>15</v>
      </c>
      <c r="J89">
        <v>42</v>
      </c>
      <c r="K89">
        <v>87255</v>
      </c>
      <c r="L89">
        <v>2022</v>
      </c>
    </row>
    <row r="90" spans="1:12" x14ac:dyDescent="0.35">
      <c r="A90">
        <v>89</v>
      </c>
      <c r="B90" s="1">
        <v>45517</v>
      </c>
      <c r="C90" t="s">
        <v>12</v>
      </c>
      <c r="D90" t="s">
        <v>29</v>
      </c>
      <c r="E90">
        <v>3.8</v>
      </c>
      <c r="F90">
        <v>6.56</v>
      </c>
      <c r="G90">
        <v>426882</v>
      </c>
      <c r="H90" t="s">
        <v>26</v>
      </c>
      <c r="I90" t="s">
        <v>18</v>
      </c>
      <c r="J90">
        <v>35</v>
      </c>
      <c r="K90">
        <v>247577</v>
      </c>
      <c r="L90">
        <v>2024</v>
      </c>
    </row>
    <row r="91" spans="1:12" x14ac:dyDescent="0.35">
      <c r="A91">
        <v>90</v>
      </c>
      <c r="B91" s="1">
        <v>44276</v>
      </c>
      <c r="C91" t="s">
        <v>27</v>
      </c>
      <c r="D91" t="s">
        <v>13</v>
      </c>
      <c r="E91">
        <v>2.04</v>
      </c>
      <c r="F91">
        <v>4.74</v>
      </c>
      <c r="G91">
        <v>769989</v>
      </c>
      <c r="H91" t="s">
        <v>17</v>
      </c>
      <c r="I91" t="s">
        <v>15</v>
      </c>
      <c r="J91">
        <v>33</v>
      </c>
      <c r="K91">
        <v>60436</v>
      </c>
      <c r="L91">
        <v>2021</v>
      </c>
    </row>
    <row r="92" spans="1:12" x14ac:dyDescent="0.35">
      <c r="A92">
        <v>91</v>
      </c>
      <c r="B92" s="1">
        <v>45072</v>
      </c>
      <c r="C92" t="s">
        <v>27</v>
      </c>
      <c r="D92" t="s">
        <v>29</v>
      </c>
      <c r="E92">
        <v>1.23</v>
      </c>
      <c r="F92">
        <v>5.85</v>
      </c>
      <c r="G92">
        <v>817443</v>
      </c>
      <c r="H92" t="s">
        <v>14</v>
      </c>
      <c r="I92" t="s">
        <v>18</v>
      </c>
      <c r="J92">
        <v>3</v>
      </c>
      <c r="K92">
        <v>266439</v>
      </c>
      <c r="L92">
        <v>2023</v>
      </c>
    </row>
    <row r="93" spans="1:12" x14ac:dyDescent="0.35">
      <c r="A93">
        <v>92</v>
      </c>
      <c r="B93" s="1">
        <v>44150</v>
      </c>
      <c r="C93" t="s">
        <v>27</v>
      </c>
      <c r="D93" t="s">
        <v>29</v>
      </c>
      <c r="E93">
        <v>1.17</v>
      </c>
      <c r="F93">
        <v>2.59</v>
      </c>
      <c r="G93">
        <v>50351</v>
      </c>
      <c r="H93" t="s">
        <v>22</v>
      </c>
      <c r="I93" t="s">
        <v>15</v>
      </c>
      <c r="J93">
        <v>10</v>
      </c>
      <c r="K93">
        <v>225497</v>
      </c>
      <c r="L93">
        <v>2020</v>
      </c>
    </row>
    <row r="94" spans="1:12" x14ac:dyDescent="0.35">
      <c r="A94">
        <v>93</v>
      </c>
      <c r="B94" s="1">
        <v>45575</v>
      </c>
      <c r="C94" t="s">
        <v>20</v>
      </c>
      <c r="D94" t="s">
        <v>25</v>
      </c>
      <c r="E94">
        <v>2.33</v>
      </c>
      <c r="F94">
        <v>2.83</v>
      </c>
      <c r="G94">
        <v>756777</v>
      </c>
      <c r="H94" t="s">
        <v>26</v>
      </c>
      <c r="I94" t="s">
        <v>15</v>
      </c>
      <c r="J94">
        <v>24</v>
      </c>
      <c r="K94">
        <v>198811</v>
      </c>
      <c r="L94">
        <v>2024</v>
      </c>
    </row>
    <row r="95" spans="1:12" x14ac:dyDescent="0.35">
      <c r="A95">
        <v>94</v>
      </c>
      <c r="B95" s="1">
        <v>44447</v>
      </c>
      <c r="C95" t="s">
        <v>30</v>
      </c>
      <c r="D95" t="s">
        <v>29</v>
      </c>
      <c r="E95">
        <v>2.2000000000000002</v>
      </c>
      <c r="F95">
        <v>8.6</v>
      </c>
      <c r="G95">
        <v>588543</v>
      </c>
      <c r="H95" t="s">
        <v>26</v>
      </c>
      <c r="I95" t="s">
        <v>18</v>
      </c>
      <c r="J95">
        <v>3</v>
      </c>
      <c r="K95">
        <v>97882</v>
      </c>
      <c r="L95">
        <v>2021</v>
      </c>
    </row>
    <row r="96" spans="1:12" x14ac:dyDescent="0.35">
      <c r="A96">
        <v>95</v>
      </c>
      <c r="B96" s="1">
        <v>45298</v>
      </c>
      <c r="C96" t="s">
        <v>30</v>
      </c>
      <c r="D96" t="s">
        <v>19</v>
      </c>
      <c r="E96">
        <v>2.4500000000000002</v>
      </c>
      <c r="F96">
        <v>8.49</v>
      </c>
      <c r="G96">
        <v>589176</v>
      </c>
      <c r="H96" t="s">
        <v>14</v>
      </c>
      <c r="I96" t="s">
        <v>18</v>
      </c>
      <c r="J96">
        <v>49</v>
      </c>
      <c r="K96">
        <v>167798</v>
      </c>
      <c r="L96">
        <v>2024</v>
      </c>
    </row>
    <row r="97" spans="1:12" x14ac:dyDescent="0.35">
      <c r="A97">
        <v>96</v>
      </c>
      <c r="B97" s="1">
        <v>45654</v>
      </c>
      <c r="C97" t="s">
        <v>24</v>
      </c>
      <c r="D97" t="s">
        <v>29</v>
      </c>
      <c r="E97">
        <v>3.1</v>
      </c>
      <c r="F97">
        <v>0.93</v>
      </c>
      <c r="G97">
        <v>666964</v>
      </c>
      <c r="H97" t="s">
        <v>14</v>
      </c>
      <c r="I97" t="s">
        <v>15</v>
      </c>
      <c r="J97">
        <v>16</v>
      </c>
      <c r="K97">
        <v>207817</v>
      </c>
      <c r="L97">
        <v>2024</v>
      </c>
    </row>
    <row r="98" spans="1:12" x14ac:dyDescent="0.35">
      <c r="A98">
        <v>97</v>
      </c>
      <c r="B98" s="1">
        <v>44034</v>
      </c>
      <c r="C98" t="s">
        <v>27</v>
      </c>
      <c r="D98" t="s">
        <v>25</v>
      </c>
      <c r="E98">
        <v>1.79</v>
      </c>
      <c r="F98">
        <v>8.76</v>
      </c>
      <c r="G98">
        <v>507933</v>
      </c>
      <c r="H98" t="s">
        <v>26</v>
      </c>
      <c r="I98" t="s">
        <v>18</v>
      </c>
      <c r="J98">
        <v>13</v>
      </c>
      <c r="K98">
        <v>281255</v>
      </c>
      <c r="L98">
        <v>2020</v>
      </c>
    </row>
    <row r="99" spans="1:12" x14ac:dyDescent="0.35">
      <c r="A99">
        <v>98</v>
      </c>
      <c r="B99" s="1">
        <v>45332</v>
      </c>
      <c r="C99" t="s">
        <v>24</v>
      </c>
      <c r="D99" t="s">
        <v>19</v>
      </c>
      <c r="E99">
        <v>2.64</v>
      </c>
      <c r="F99">
        <v>5.39</v>
      </c>
      <c r="G99">
        <v>803054</v>
      </c>
      <c r="H99" t="s">
        <v>26</v>
      </c>
      <c r="I99" t="s">
        <v>15</v>
      </c>
      <c r="J99">
        <v>13</v>
      </c>
      <c r="K99">
        <v>163974</v>
      </c>
      <c r="L99">
        <v>2024</v>
      </c>
    </row>
    <row r="100" spans="1:12" x14ac:dyDescent="0.35">
      <c r="A100">
        <v>99</v>
      </c>
      <c r="B100" s="1">
        <v>45501</v>
      </c>
      <c r="C100" t="s">
        <v>12</v>
      </c>
      <c r="D100" t="s">
        <v>13</v>
      </c>
      <c r="E100">
        <v>1.1299999999999999</v>
      </c>
      <c r="F100">
        <v>9.1300000000000008</v>
      </c>
      <c r="G100">
        <v>661517</v>
      </c>
      <c r="H100" t="s">
        <v>21</v>
      </c>
      <c r="I100" t="s">
        <v>15</v>
      </c>
      <c r="J100">
        <v>36</v>
      </c>
      <c r="K100">
        <v>284884</v>
      </c>
      <c r="L100">
        <v>2024</v>
      </c>
    </row>
    <row r="101" spans="1:12" x14ac:dyDescent="0.35">
      <c r="A101">
        <v>100</v>
      </c>
      <c r="B101" s="1">
        <v>45417</v>
      </c>
      <c r="C101" t="s">
        <v>16</v>
      </c>
      <c r="D101" t="s">
        <v>25</v>
      </c>
      <c r="E101">
        <v>3.93</v>
      </c>
      <c r="F101">
        <v>6.49</v>
      </c>
      <c r="G101">
        <v>97774</v>
      </c>
      <c r="H101" t="s">
        <v>14</v>
      </c>
      <c r="I101" t="s">
        <v>18</v>
      </c>
      <c r="J101">
        <v>48</v>
      </c>
      <c r="K101">
        <v>164555</v>
      </c>
      <c r="L101">
        <v>2024</v>
      </c>
    </row>
    <row r="102" spans="1:12" x14ac:dyDescent="0.35">
      <c r="A102">
        <v>101</v>
      </c>
      <c r="B102" s="1">
        <v>44481</v>
      </c>
      <c r="C102" t="s">
        <v>27</v>
      </c>
      <c r="D102" t="s">
        <v>13</v>
      </c>
      <c r="E102">
        <v>0.82</v>
      </c>
      <c r="F102">
        <v>3.64</v>
      </c>
      <c r="G102">
        <v>109828</v>
      </c>
      <c r="H102" t="s">
        <v>26</v>
      </c>
      <c r="I102" t="s">
        <v>18</v>
      </c>
      <c r="J102">
        <v>49</v>
      </c>
      <c r="K102">
        <v>15648</v>
      </c>
      <c r="L102">
        <v>2021</v>
      </c>
    </row>
    <row r="103" spans="1:12" x14ac:dyDescent="0.35">
      <c r="A103">
        <v>102</v>
      </c>
      <c r="B103" s="1">
        <v>43908</v>
      </c>
      <c r="C103" t="s">
        <v>28</v>
      </c>
      <c r="D103" t="s">
        <v>19</v>
      </c>
      <c r="E103">
        <v>2.89</v>
      </c>
      <c r="F103">
        <v>7.74</v>
      </c>
      <c r="G103">
        <v>934392</v>
      </c>
      <c r="H103" t="s">
        <v>14</v>
      </c>
      <c r="I103" t="s">
        <v>18</v>
      </c>
      <c r="J103">
        <v>18</v>
      </c>
      <c r="K103">
        <v>283276</v>
      </c>
      <c r="L103">
        <v>2020</v>
      </c>
    </row>
    <row r="104" spans="1:12" x14ac:dyDescent="0.35">
      <c r="A104">
        <v>103</v>
      </c>
      <c r="B104" s="1">
        <v>45503</v>
      </c>
      <c r="C104" t="s">
        <v>16</v>
      </c>
      <c r="D104" t="s">
        <v>29</v>
      </c>
      <c r="E104">
        <v>1.56</v>
      </c>
      <c r="F104">
        <v>2.42</v>
      </c>
      <c r="G104">
        <v>412491</v>
      </c>
      <c r="H104" t="s">
        <v>21</v>
      </c>
      <c r="I104" t="s">
        <v>18</v>
      </c>
      <c r="J104">
        <v>11</v>
      </c>
      <c r="K104">
        <v>139835</v>
      </c>
      <c r="L104">
        <v>2024</v>
      </c>
    </row>
    <row r="105" spans="1:12" x14ac:dyDescent="0.35">
      <c r="A105">
        <v>104</v>
      </c>
      <c r="B105" s="1">
        <v>43982</v>
      </c>
      <c r="C105" t="s">
        <v>28</v>
      </c>
      <c r="D105" t="s">
        <v>25</v>
      </c>
      <c r="E105">
        <v>3.02</v>
      </c>
      <c r="F105">
        <v>6.21</v>
      </c>
      <c r="G105">
        <v>459354</v>
      </c>
      <c r="H105" t="s">
        <v>17</v>
      </c>
      <c r="I105" t="s">
        <v>18</v>
      </c>
      <c r="J105">
        <v>13</v>
      </c>
      <c r="K105">
        <v>135063</v>
      </c>
      <c r="L105">
        <v>2020</v>
      </c>
    </row>
    <row r="106" spans="1:12" x14ac:dyDescent="0.35">
      <c r="A106">
        <v>105</v>
      </c>
      <c r="B106" s="1">
        <v>44405</v>
      </c>
      <c r="C106" t="s">
        <v>27</v>
      </c>
      <c r="D106" t="s">
        <v>23</v>
      </c>
      <c r="E106">
        <v>0.56000000000000005</v>
      </c>
      <c r="F106">
        <v>7.41</v>
      </c>
      <c r="G106">
        <v>678872</v>
      </c>
      <c r="H106" t="s">
        <v>14</v>
      </c>
      <c r="I106" t="s">
        <v>18</v>
      </c>
      <c r="J106">
        <v>34</v>
      </c>
      <c r="K106">
        <v>276434</v>
      </c>
      <c r="L106">
        <v>2021</v>
      </c>
    </row>
    <row r="107" spans="1:12" x14ac:dyDescent="0.35">
      <c r="A107">
        <v>106</v>
      </c>
      <c r="B107" s="1">
        <v>44774</v>
      </c>
      <c r="C107" t="s">
        <v>27</v>
      </c>
      <c r="D107" t="s">
        <v>13</v>
      </c>
      <c r="E107">
        <v>4.37</v>
      </c>
      <c r="F107">
        <v>5.01</v>
      </c>
      <c r="G107">
        <v>880562</v>
      </c>
      <c r="H107" t="s">
        <v>22</v>
      </c>
      <c r="I107" t="s">
        <v>15</v>
      </c>
      <c r="J107">
        <v>9</v>
      </c>
      <c r="K107">
        <v>160018</v>
      </c>
      <c r="L107">
        <v>2022</v>
      </c>
    </row>
    <row r="108" spans="1:12" x14ac:dyDescent="0.35">
      <c r="A108">
        <v>107</v>
      </c>
      <c r="B108" s="1">
        <v>44512</v>
      </c>
      <c r="C108" t="s">
        <v>27</v>
      </c>
      <c r="D108" t="s">
        <v>19</v>
      </c>
      <c r="E108">
        <v>4.51</v>
      </c>
      <c r="F108">
        <v>7.85</v>
      </c>
      <c r="G108">
        <v>326834</v>
      </c>
      <c r="H108" t="s">
        <v>14</v>
      </c>
      <c r="I108" t="s">
        <v>18</v>
      </c>
      <c r="J108">
        <v>5</v>
      </c>
      <c r="K108">
        <v>99461</v>
      </c>
      <c r="L108">
        <v>2021</v>
      </c>
    </row>
    <row r="109" spans="1:12" x14ac:dyDescent="0.35">
      <c r="A109">
        <v>108</v>
      </c>
      <c r="B109" s="1">
        <v>45411</v>
      </c>
      <c r="C109" t="s">
        <v>28</v>
      </c>
      <c r="D109" t="s">
        <v>29</v>
      </c>
      <c r="E109">
        <v>4.2</v>
      </c>
      <c r="F109">
        <v>2</v>
      </c>
      <c r="G109">
        <v>384964</v>
      </c>
      <c r="H109" t="s">
        <v>21</v>
      </c>
      <c r="I109" t="s">
        <v>15</v>
      </c>
      <c r="J109">
        <v>19</v>
      </c>
      <c r="K109">
        <v>52597</v>
      </c>
      <c r="L109">
        <v>2024</v>
      </c>
    </row>
    <row r="110" spans="1:12" x14ac:dyDescent="0.35">
      <c r="A110">
        <v>109</v>
      </c>
      <c r="B110" s="1">
        <v>44365</v>
      </c>
      <c r="C110" t="s">
        <v>20</v>
      </c>
      <c r="D110" t="s">
        <v>13</v>
      </c>
      <c r="E110">
        <v>3.62</v>
      </c>
      <c r="F110">
        <v>7.88</v>
      </c>
      <c r="G110">
        <v>731895</v>
      </c>
      <c r="H110" t="s">
        <v>21</v>
      </c>
      <c r="I110" t="s">
        <v>15</v>
      </c>
      <c r="J110">
        <v>44</v>
      </c>
      <c r="K110">
        <v>189706</v>
      </c>
      <c r="L110">
        <v>2021</v>
      </c>
    </row>
    <row r="111" spans="1:12" x14ac:dyDescent="0.35">
      <c r="A111">
        <v>110</v>
      </c>
      <c r="B111" s="1">
        <v>45591</v>
      </c>
      <c r="C111" t="s">
        <v>16</v>
      </c>
      <c r="D111" t="s">
        <v>13</v>
      </c>
      <c r="E111">
        <v>3.52</v>
      </c>
      <c r="F111">
        <v>9.2799999999999994</v>
      </c>
      <c r="G111">
        <v>261644</v>
      </c>
      <c r="H111" t="s">
        <v>14</v>
      </c>
      <c r="I111" t="s">
        <v>18</v>
      </c>
      <c r="J111">
        <v>50</v>
      </c>
      <c r="K111">
        <v>212101</v>
      </c>
      <c r="L111">
        <v>2024</v>
      </c>
    </row>
    <row r="112" spans="1:12" x14ac:dyDescent="0.35">
      <c r="A112">
        <v>111</v>
      </c>
      <c r="B112" s="1">
        <v>44923</v>
      </c>
      <c r="C112" t="s">
        <v>12</v>
      </c>
      <c r="D112" t="s">
        <v>19</v>
      </c>
      <c r="E112">
        <v>1.79</v>
      </c>
      <c r="F112">
        <v>5.95</v>
      </c>
      <c r="G112">
        <v>304111</v>
      </c>
      <c r="H112" t="s">
        <v>21</v>
      </c>
      <c r="I112" t="s">
        <v>18</v>
      </c>
      <c r="J112">
        <v>26</v>
      </c>
      <c r="K112">
        <v>92231</v>
      </c>
      <c r="L112">
        <v>2022</v>
      </c>
    </row>
    <row r="113" spans="1:12" x14ac:dyDescent="0.35">
      <c r="A113">
        <v>112</v>
      </c>
      <c r="B113" s="1">
        <v>45167</v>
      </c>
      <c r="C113" t="s">
        <v>27</v>
      </c>
      <c r="D113" t="s">
        <v>25</v>
      </c>
      <c r="E113">
        <v>1.32</v>
      </c>
      <c r="F113">
        <v>1.04</v>
      </c>
      <c r="G113">
        <v>201885</v>
      </c>
      <c r="H113" t="s">
        <v>26</v>
      </c>
      <c r="I113" t="s">
        <v>15</v>
      </c>
      <c r="J113">
        <v>3</v>
      </c>
      <c r="K113">
        <v>137623</v>
      </c>
      <c r="L113">
        <v>2023</v>
      </c>
    </row>
    <row r="114" spans="1:12" x14ac:dyDescent="0.35">
      <c r="A114">
        <v>113</v>
      </c>
      <c r="B114" s="1">
        <v>44295</v>
      </c>
      <c r="C114" t="s">
        <v>20</v>
      </c>
      <c r="D114" t="s">
        <v>25</v>
      </c>
      <c r="E114">
        <v>1.1399999999999999</v>
      </c>
      <c r="F114">
        <v>1.7</v>
      </c>
      <c r="G114">
        <v>243134</v>
      </c>
      <c r="H114" t="s">
        <v>17</v>
      </c>
      <c r="I114" t="s">
        <v>15</v>
      </c>
      <c r="J114">
        <v>6</v>
      </c>
      <c r="K114">
        <v>140411</v>
      </c>
      <c r="L114">
        <v>2021</v>
      </c>
    </row>
    <row r="115" spans="1:12" x14ac:dyDescent="0.35">
      <c r="A115">
        <v>114</v>
      </c>
      <c r="B115" s="1">
        <v>45371</v>
      </c>
      <c r="C115" t="s">
        <v>20</v>
      </c>
      <c r="D115" t="s">
        <v>19</v>
      </c>
      <c r="E115">
        <v>3.39</v>
      </c>
      <c r="F115">
        <v>5.74</v>
      </c>
      <c r="G115">
        <v>142934</v>
      </c>
      <c r="H115" t="s">
        <v>22</v>
      </c>
      <c r="I115" t="s">
        <v>18</v>
      </c>
      <c r="J115">
        <v>47</v>
      </c>
      <c r="K115">
        <v>248269</v>
      </c>
      <c r="L115">
        <v>2024</v>
      </c>
    </row>
    <row r="116" spans="1:12" x14ac:dyDescent="0.35">
      <c r="A116">
        <v>115</v>
      </c>
      <c r="B116" s="1">
        <v>45569</v>
      </c>
      <c r="C116" t="s">
        <v>16</v>
      </c>
      <c r="D116" t="s">
        <v>19</v>
      </c>
      <c r="E116">
        <v>1.79</v>
      </c>
      <c r="F116">
        <v>0.7</v>
      </c>
      <c r="G116">
        <v>379260</v>
      </c>
      <c r="H116" t="s">
        <v>14</v>
      </c>
      <c r="I116" t="s">
        <v>18</v>
      </c>
      <c r="J116">
        <v>48</v>
      </c>
      <c r="K116">
        <v>139145</v>
      </c>
      <c r="L116">
        <v>2024</v>
      </c>
    </row>
    <row r="117" spans="1:12" x14ac:dyDescent="0.35">
      <c r="A117">
        <v>116</v>
      </c>
      <c r="B117" s="1">
        <v>44955</v>
      </c>
      <c r="C117" t="s">
        <v>20</v>
      </c>
      <c r="D117" t="s">
        <v>23</v>
      </c>
      <c r="E117">
        <v>2.87</v>
      </c>
      <c r="F117">
        <v>2.79</v>
      </c>
      <c r="G117">
        <v>801173</v>
      </c>
      <c r="H117" t="s">
        <v>14</v>
      </c>
      <c r="I117" t="s">
        <v>15</v>
      </c>
      <c r="J117">
        <v>12</v>
      </c>
      <c r="K117">
        <v>237174</v>
      </c>
      <c r="L117">
        <v>2023</v>
      </c>
    </row>
    <row r="118" spans="1:12" x14ac:dyDescent="0.35">
      <c r="A118">
        <v>117</v>
      </c>
      <c r="B118" s="1">
        <v>45489</v>
      </c>
      <c r="C118" t="s">
        <v>20</v>
      </c>
      <c r="D118" t="s">
        <v>23</v>
      </c>
      <c r="E118">
        <v>3.6</v>
      </c>
      <c r="F118">
        <v>5.53</v>
      </c>
      <c r="G118">
        <v>944346</v>
      </c>
      <c r="H118" t="s">
        <v>21</v>
      </c>
      <c r="I118" t="s">
        <v>18</v>
      </c>
      <c r="J118">
        <v>4</v>
      </c>
      <c r="K118">
        <v>41828</v>
      </c>
      <c r="L118">
        <v>2024</v>
      </c>
    </row>
    <row r="119" spans="1:12" x14ac:dyDescent="0.35">
      <c r="A119">
        <v>118</v>
      </c>
      <c r="B119" s="1">
        <v>44120</v>
      </c>
      <c r="C119" t="s">
        <v>12</v>
      </c>
      <c r="D119" t="s">
        <v>23</v>
      </c>
      <c r="E119">
        <v>0.44</v>
      </c>
      <c r="F119">
        <v>2.83</v>
      </c>
      <c r="G119">
        <v>530753</v>
      </c>
      <c r="H119" t="s">
        <v>21</v>
      </c>
      <c r="I119" t="s">
        <v>18</v>
      </c>
      <c r="J119">
        <v>31</v>
      </c>
      <c r="K119">
        <v>191227</v>
      </c>
      <c r="L119">
        <v>2020</v>
      </c>
    </row>
    <row r="120" spans="1:12" x14ac:dyDescent="0.35">
      <c r="A120">
        <v>119</v>
      </c>
      <c r="B120" s="1">
        <v>44235</v>
      </c>
      <c r="C120" t="s">
        <v>16</v>
      </c>
      <c r="D120" t="s">
        <v>23</v>
      </c>
      <c r="E120">
        <v>4.51</v>
      </c>
      <c r="F120">
        <v>7.89</v>
      </c>
      <c r="G120">
        <v>660901</v>
      </c>
      <c r="H120" t="s">
        <v>14</v>
      </c>
      <c r="I120" t="s">
        <v>18</v>
      </c>
      <c r="J120">
        <v>30</v>
      </c>
      <c r="K120">
        <v>11717</v>
      </c>
      <c r="L120">
        <v>2021</v>
      </c>
    </row>
    <row r="121" spans="1:12" x14ac:dyDescent="0.35">
      <c r="A121">
        <v>120</v>
      </c>
      <c r="B121" s="1">
        <v>44417</v>
      </c>
      <c r="C121" t="s">
        <v>20</v>
      </c>
      <c r="D121" t="s">
        <v>25</v>
      </c>
      <c r="E121">
        <v>1.27</v>
      </c>
      <c r="F121">
        <v>8.7100000000000009</v>
      </c>
      <c r="G121">
        <v>295985</v>
      </c>
      <c r="H121" t="s">
        <v>21</v>
      </c>
      <c r="I121" t="s">
        <v>18</v>
      </c>
      <c r="J121">
        <v>36</v>
      </c>
      <c r="K121">
        <v>207986</v>
      </c>
      <c r="L121">
        <v>2021</v>
      </c>
    </row>
    <row r="122" spans="1:12" x14ac:dyDescent="0.35">
      <c r="A122">
        <v>121</v>
      </c>
      <c r="B122" s="1">
        <v>45542</v>
      </c>
      <c r="C122" t="s">
        <v>24</v>
      </c>
      <c r="D122" t="s">
        <v>25</v>
      </c>
      <c r="E122">
        <v>3.41</v>
      </c>
      <c r="F122">
        <v>1.17</v>
      </c>
      <c r="G122">
        <v>883113</v>
      </c>
      <c r="H122" t="s">
        <v>26</v>
      </c>
      <c r="I122" t="s">
        <v>18</v>
      </c>
      <c r="J122">
        <v>6</v>
      </c>
      <c r="K122">
        <v>71229</v>
      </c>
      <c r="L122">
        <v>2024</v>
      </c>
    </row>
    <row r="123" spans="1:12" x14ac:dyDescent="0.35">
      <c r="A123">
        <v>122</v>
      </c>
      <c r="B123" s="1">
        <v>44024</v>
      </c>
      <c r="C123" t="s">
        <v>27</v>
      </c>
      <c r="D123" t="s">
        <v>25</v>
      </c>
      <c r="E123">
        <v>1.76</v>
      </c>
      <c r="F123">
        <v>0.88</v>
      </c>
      <c r="G123">
        <v>726998</v>
      </c>
      <c r="H123" t="s">
        <v>21</v>
      </c>
      <c r="I123" t="s">
        <v>15</v>
      </c>
      <c r="J123">
        <v>31</v>
      </c>
      <c r="K123">
        <v>149279</v>
      </c>
      <c r="L123">
        <v>2020</v>
      </c>
    </row>
    <row r="124" spans="1:12" x14ac:dyDescent="0.35">
      <c r="A124">
        <v>123</v>
      </c>
      <c r="B124" s="1">
        <v>45375</v>
      </c>
      <c r="C124" t="s">
        <v>20</v>
      </c>
      <c r="D124" t="s">
        <v>19</v>
      </c>
      <c r="E124">
        <v>4.1100000000000003</v>
      </c>
      <c r="F124">
        <v>0.18</v>
      </c>
      <c r="G124">
        <v>693559</v>
      </c>
      <c r="H124" t="s">
        <v>14</v>
      </c>
      <c r="I124" t="s">
        <v>18</v>
      </c>
      <c r="J124">
        <v>10</v>
      </c>
      <c r="K124">
        <v>86592</v>
      </c>
      <c r="L124">
        <v>2024</v>
      </c>
    </row>
    <row r="125" spans="1:12" x14ac:dyDescent="0.35">
      <c r="A125">
        <v>124</v>
      </c>
      <c r="B125" s="1">
        <v>44879</v>
      </c>
      <c r="C125" t="s">
        <v>27</v>
      </c>
      <c r="D125" t="s">
        <v>19</v>
      </c>
      <c r="E125">
        <v>4.67</v>
      </c>
      <c r="F125">
        <v>1.75</v>
      </c>
      <c r="G125">
        <v>451649</v>
      </c>
      <c r="H125" t="s">
        <v>17</v>
      </c>
      <c r="I125" t="s">
        <v>18</v>
      </c>
      <c r="J125">
        <v>36</v>
      </c>
      <c r="K125">
        <v>74396</v>
      </c>
      <c r="L125">
        <v>2022</v>
      </c>
    </row>
    <row r="126" spans="1:12" x14ac:dyDescent="0.35">
      <c r="A126">
        <v>125</v>
      </c>
      <c r="B126" s="1">
        <v>45286</v>
      </c>
      <c r="C126" t="s">
        <v>24</v>
      </c>
      <c r="D126" t="s">
        <v>23</v>
      </c>
      <c r="E126">
        <v>2.74</v>
      </c>
      <c r="F126">
        <v>4.88</v>
      </c>
      <c r="G126">
        <v>741214</v>
      </c>
      <c r="H126" t="s">
        <v>14</v>
      </c>
      <c r="I126" t="s">
        <v>15</v>
      </c>
      <c r="J126">
        <v>19</v>
      </c>
      <c r="K126">
        <v>249509</v>
      </c>
      <c r="L126">
        <v>2023</v>
      </c>
    </row>
    <row r="127" spans="1:12" x14ac:dyDescent="0.35">
      <c r="A127">
        <v>126</v>
      </c>
      <c r="B127" s="1">
        <v>45358</v>
      </c>
      <c r="C127" t="s">
        <v>30</v>
      </c>
      <c r="D127" t="s">
        <v>29</v>
      </c>
      <c r="E127">
        <v>0.91</v>
      </c>
      <c r="F127">
        <v>6.26</v>
      </c>
      <c r="G127">
        <v>235724</v>
      </c>
      <c r="H127" t="s">
        <v>14</v>
      </c>
      <c r="I127" t="s">
        <v>18</v>
      </c>
      <c r="J127">
        <v>27</v>
      </c>
      <c r="K127">
        <v>62539</v>
      </c>
      <c r="L127">
        <v>2024</v>
      </c>
    </row>
    <row r="128" spans="1:12" x14ac:dyDescent="0.35">
      <c r="A128">
        <v>127</v>
      </c>
      <c r="B128" s="1">
        <v>45555</v>
      </c>
      <c r="C128" t="s">
        <v>20</v>
      </c>
      <c r="D128" t="s">
        <v>19</v>
      </c>
      <c r="E128">
        <v>2.25</v>
      </c>
      <c r="F128">
        <v>5.44</v>
      </c>
      <c r="G128">
        <v>510056</v>
      </c>
      <c r="H128" t="s">
        <v>22</v>
      </c>
      <c r="I128" t="s">
        <v>18</v>
      </c>
      <c r="J128">
        <v>6</v>
      </c>
      <c r="K128">
        <v>201231</v>
      </c>
      <c r="L128">
        <v>2024</v>
      </c>
    </row>
    <row r="129" spans="1:12" x14ac:dyDescent="0.35">
      <c r="A129">
        <v>128</v>
      </c>
      <c r="B129" s="1">
        <v>44772</v>
      </c>
      <c r="C129" t="s">
        <v>20</v>
      </c>
      <c r="D129" t="s">
        <v>23</v>
      </c>
      <c r="E129">
        <v>2.76</v>
      </c>
      <c r="F129">
        <v>3.88</v>
      </c>
      <c r="G129">
        <v>365143</v>
      </c>
      <c r="H129" t="s">
        <v>17</v>
      </c>
      <c r="I129" t="s">
        <v>18</v>
      </c>
      <c r="J129">
        <v>45</v>
      </c>
      <c r="K129">
        <v>110541</v>
      </c>
      <c r="L129">
        <v>2022</v>
      </c>
    </row>
    <row r="130" spans="1:12" x14ac:dyDescent="0.35">
      <c r="A130">
        <v>129</v>
      </c>
      <c r="B130" s="1">
        <v>45410</v>
      </c>
      <c r="C130" t="s">
        <v>20</v>
      </c>
      <c r="D130" t="s">
        <v>23</v>
      </c>
      <c r="E130">
        <v>0.95</v>
      </c>
      <c r="F130">
        <v>8.35</v>
      </c>
      <c r="G130">
        <v>641833</v>
      </c>
      <c r="H130" t="s">
        <v>14</v>
      </c>
      <c r="I130" t="s">
        <v>18</v>
      </c>
      <c r="J130">
        <v>4</v>
      </c>
      <c r="K130">
        <v>218993</v>
      </c>
      <c r="L130">
        <v>2024</v>
      </c>
    </row>
    <row r="131" spans="1:12" x14ac:dyDescent="0.35">
      <c r="A131">
        <v>130</v>
      </c>
      <c r="B131" s="1">
        <v>45581</v>
      </c>
      <c r="C131" t="s">
        <v>24</v>
      </c>
      <c r="D131" t="s">
        <v>25</v>
      </c>
      <c r="E131">
        <v>3.9</v>
      </c>
      <c r="F131">
        <v>5.01</v>
      </c>
      <c r="G131">
        <v>132658</v>
      </c>
      <c r="H131" t="s">
        <v>21</v>
      </c>
      <c r="I131" t="s">
        <v>18</v>
      </c>
      <c r="J131">
        <v>7</v>
      </c>
      <c r="K131">
        <v>192157</v>
      </c>
      <c r="L131">
        <v>2024</v>
      </c>
    </row>
    <row r="132" spans="1:12" x14ac:dyDescent="0.35">
      <c r="A132">
        <v>131</v>
      </c>
      <c r="B132" s="1">
        <v>44777</v>
      </c>
      <c r="C132" t="s">
        <v>27</v>
      </c>
      <c r="D132" t="s">
        <v>29</v>
      </c>
      <c r="E132">
        <v>1.07</v>
      </c>
      <c r="F132">
        <v>8.81</v>
      </c>
      <c r="G132">
        <v>498882</v>
      </c>
      <c r="H132" t="s">
        <v>14</v>
      </c>
      <c r="I132" t="s">
        <v>15</v>
      </c>
      <c r="J132">
        <v>13</v>
      </c>
      <c r="K132">
        <v>176602</v>
      </c>
      <c r="L132">
        <v>2022</v>
      </c>
    </row>
    <row r="133" spans="1:12" x14ac:dyDescent="0.35">
      <c r="A133">
        <v>132</v>
      </c>
      <c r="B133" s="1">
        <v>44422</v>
      </c>
      <c r="C133" t="s">
        <v>16</v>
      </c>
      <c r="D133" t="s">
        <v>29</v>
      </c>
      <c r="E133">
        <v>0.75</v>
      </c>
      <c r="F133">
        <v>1.06</v>
      </c>
      <c r="G133">
        <v>318256</v>
      </c>
      <c r="H133" t="s">
        <v>17</v>
      </c>
      <c r="I133" t="s">
        <v>18</v>
      </c>
      <c r="J133">
        <v>13</v>
      </c>
      <c r="K133">
        <v>69192</v>
      </c>
      <c r="L133">
        <v>2021</v>
      </c>
    </row>
    <row r="134" spans="1:12" x14ac:dyDescent="0.35">
      <c r="A134">
        <v>133</v>
      </c>
      <c r="B134" s="1">
        <v>43986</v>
      </c>
      <c r="C134" t="s">
        <v>20</v>
      </c>
      <c r="D134" t="s">
        <v>25</v>
      </c>
      <c r="E134">
        <v>4.6399999999999997</v>
      </c>
      <c r="F134">
        <v>5.26</v>
      </c>
      <c r="G134">
        <v>218755</v>
      </c>
      <c r="H134" t="s">
        <v>21</v>
      </c>
      <c r="I134" t="s">
        <v>15</v>
      </c>
      <c r="J134">
        <v>22</v>
      </c>
      <c r="K134">
        <v>228299</v>
      </c>
      <c r="L134">
        <v>2020</v>
      </c>
    </row>
    <row r="135" spans="1:12" x14ac:dyDescent="0.35">
      <c r="A135">
        <v>134</v>
      </c>
      <c r="B135" s="1">
        <v>44334</v>
      </c>
      <c r="C135" t="s">
        <v>16</v>
      </c>
      <c r="D135" t="s">
        <v>29</v>
      </c>
      <c r="E135">
        <v>4.0199999999999996</v>
      </c>
      <c r="F135">
        <v>8.4</v>
      </c>
      <c r="G135">
        <v>910546</v>
      </c>
      <c r="H135" t="s">
        <v>22</v>
      </c>
      <c r="I135" t="s">
        <v>15</v>
      </c>
      <c r="J135">
        <v>46</v>
      </c>
      <c r="K135">
        <v>87970</v>
      </c>
      <c r="L135">
        <v>2021</v>
      </c>
    </row>
    <row r="136" spans="1:12" x14ac:dyDescent="0.35">
      <c r="A136">
        <v>135</v>
      </c>
      <c r="B136" s="1">
        <v>44662</v>
      </c>
      <c r="C136" t="s">
        <v>30</v>
      </c>
      <c r="D136" t="s">
        <v>19</v>
      </c>
      <c r="E136">
        <v>0.23</v>
      </c>
      <c r="F136">
        <v>9.41</v>
      </c>
      <c r="G136">
        <v>496293</v>
      </c>
      <c r="H136" t="s">
        <v>21</v>
      </c>
      <c r="I136" t="s">
        <v>15</v>
      </c>
      <c r="J136">
        <v>27</v>
      </c>
      <c r="K136">
        <v>16697</v>
      </c>
      <c r="L136">
        <v>2022</v>
      </c>
    </row>
    <row r="137" spans="1:12" x14ac:dyDescent="0.35">
      <c r="A137">
        <v>136</v>
      </c>
      <c r="B137" s="1">
        <v>45070</v>
      </c>
      <c r="C137" t="s">
        <v>27</v>
      </c>
      <c r="D137" t="s">
        <v>19</v>
      </c>
      <c r="E137">
        <v>1.08</v>
      </c>
      <c r="F137">
        <v>2.67</v>
      </c>
      <c r="G137">
        <v>164719</v>
      </c>
      <c r="H137" t="s">
        <v>26</v>
      </c>
      <c r="I137" t="s">
        <v>15</v>
      </c>
      <c r="J137">
        <v>20</v>
      </c>
      <c r="K137">
        <v>139321</v>
      </c>
      <c r="L137">
        <v>2023</v>
      </c>
    </row>
    <row r="138" spans="1:12" x14ac:dyDescent="0.35">
      <c r="A138">
        <v>137</v>
      </c>
      <c r="B138" s="1">
        <v>45555</v>
      </c>
      <c r="C138" t="s">
        <v>30</v>
      </c>
      <c r="D138" t="s">
        <v>19</v>
      </c>
      <c r="E138">
        <v>1.78</v>
      </c>
      <c r="F138">
        <v>3.23</v>
      </c>
      <c r="G138">
        <v>182338</v>
      </c>
      <c r="H138" t="s">
        <v>17</v>
      </c>
      <c r="I138" t="s">
        <v>15</v>
      </c>
      <c r="J138">
        <v>2</v>
      </c>
      <c r="K138">
        <v>93353</v>
      </c>
      <c r="L138">
        <v>2024</v>
      </c>
    </row>
    <row r="139" spans="1:12" x14ac:dyDescent="0.35">
      <c r="A139">
        <v>138</v>
      </c>
      <c r="B139" s="1">
        <v>44771</v>
      </c>
      <c r="C139" t="s">
        <v>27</v>
      </c>
      <c r="D139" t="s">
        <v>23</v>
      </c>
      <c r="E139">
        <v>0.71</v>
      </c>
      <c r="F139">
        <v>9.85</v>
      </c>
      <c r="G139">
        <v>837530</v>
      </c>
      <c r="H139" t="s">
        <v>17</v>
      </c>
      <c r="I139" t="s">
        <v>18</v>
      </c>
      <c r="J139">
        <v>39</v>
      </c>
      <c r="K139">
        <v>202445</v>
      </c>
      <c r="L139">
        <v>2022</v>
      </c>
    </row>
    <row r="140" spans="1:12" x14ac:dyDescent="0.35">
      <c r="A140">
        <v>139</v>
      </c>
      <c r="B140" s="1">
        <v>44216</v>
      </c>
      <c r="C140" t="s">
        <v>24</v>
      </c>
      <c r="D140" t="s">
        <v>13</v>
      </c>
      <c r="E140">
        <v>3.46</v>
      </c>
      <c r="F140">
        <v>1.72</v>
      </c>
      <c r="G140">
        <v>671718</v>
      </c>
      <c r="H140" t="s">
        <v>17</v>
      </c>
      <c r="I140" t="s">
        <v>15</v>
      </c>
      <c r="J140">
        <v>45</v>
      </c>
      <c r="K140">
        <v>14855</v>
      </c>
      <c r="L140">
        <v>2021</v>
      </c>
    </row>
    <row r="141" spans="1:12" x14ac:dyDescent="0.35">
      <c r="A141">
        <v>140</v>
      </c>
      <c r="B141" s="1">
        <v>45244</v>
      </c>
      <c r="C141" t="s">
        <v>30</v>
      </c>
      <c r="D141" t="s">
        <v>29</v>
      </c>
      <c r="E141">
        <v>3.33</v>
      </c>
      <c r="F141">
        <v>0.96</v>
      </c>
      <c r="G141">
        <v>664910</v>
      </c>
      <c r="H141" t="s">
        <v>26</v>
      </c>
      <c r="I141" t="s">
        <v>18</v>
      </c>
      <c r="J141">
        <v>28</v>
      </c>
      <c r="K141">
        <v>241824</v>
      </c>
      <c r="L141">
        <v>2023</v>
      </c>
    </row>
    <row r="142" spans="1:12" x14ac:dyDescent="0.35">
      <c r="A142">
        <v>141</v>
      </c>
      <c r="B142" s="1">
        <v>44767</v>
      </c>
      <c r="C142" t="s">
        <v>28</v>
      </c>
      <c r="D142" t="s">
        <v>25</v>
      </c>
      <c r="E142">
        <v>3.43</v>
      </c>
      <c r="F142">
        <v>3.72</v>
      </c>
      <c r="G142">
        <v>525100</v>
      </c>
      <c r="H142" t="s">
        <v>26</v>
      </c>
      <c r="I142" t="s">
        <v>15</v>
      </c>
      <c r="J142">
        <v>45</v>
      </c>
      <c r="K142">
        <v>157053</v>
      </c>
      <c r="L142">
        <v>2022</v>
      </c>
    </row>
    <row r="143" spans="1:12" x14ac:dyDescent="0.35">
      <c r="A143">
        <v>142</v>
      </c>
      <c r="B143" s="1">
        <v>44470</v>
      </c>
      <c r="C143" t="s">
        <v>24</v>
      </c>
      <c r="D143" t="s">
        <v>25</v>
      </c>
      <c r="E143">
        <v>3.88</v>
      </c>
      <c r="F143">
        <v>4.03</v>
      </c>
      <c r="G143">
        <v>89932</v>
      </c>
      <c r="H143" t="s">
        <v>26</v>
      </c>
      <c r="I143" t="s">
        <v>15</v>
      </c>
      <c r="J143">
        <v>38</v>
      </c>
      <c r="K143">
        <v>265535</v>
      </c>
      <c r="L143">
        <v>2021</v>
      </c>
    </row>
    <row r="144" spans="1:12" x14ac:dyDescent="0.35">
      <c r="A144">
        <v>143</v>
      </c>
      <c r="B144" s="1">
        <v>44678</v>
      </c>
      <c r="C144" t="s">
        <v>24</v>
      </c>
      <c r="D144" t="s">
        <v>25</v>
      </c>
      <c r="E144">
        <v>1.89</v>
      </c>
      <c r="F144">
        <v>4.55</v>
      </c>
      <c r="G144">
        <v>630110</v>
      </c>
      <c r="H144" t="s">
        <v>17</v>
      </c>
      <c r="I144" t="s">
        <v>18</v>
      </c>
      <c r="J144">
        <v>16</v>
      </c>
      <c r="K144">
        <v>264440</v>
      </c>
      <c r="L144">
        <v>2022</v>
      </c>
    </row>
    <row r="145" spans="1:12" x14ac:dyDescent="0.35">
      <c r="A145">
        <v>144</v>
      </c>
      <c r="B145" s="1">
        <v>43942</v>
      </c>
      <c r="C145" t="s">
        <v>20</v>
      </c>
      <c r="D145" t="s">
        <v>29</v>
      </c>
      <c r="E145">
        <v>3.61</v>
      </c>
      <c r="F145">
        <v>3.73</v>
      </c>
      <c r="G145">
        <v>560331</v>
      </c>
      <c r="H145" t="s">
        <v>26</v>
      </c>
      <c r="I145" t="s">
        <v>18</v>
      </c>
      <c r="J145">
        <v>29</v>
      </c>
      <c r="K145">
        <v>55252</v>
      </c>
      <c r="L145">
        <v>2020</v>
      </c>
    </row>
    <row r="146" spans="1:12" x14ac:dyDescent="0.35">
      <c r="A146">
        <v>145</v>
      </c>
      <c r="B146" s="1">
        <v>44671</v>
      </c>
      <c r="C146" t="s">
        <v>16</v>
      </c>
      <c r="D146" t="s">
        <v>13</v>
      </c>
      <c r="E146">
        <v>3.68</v>
      </c>
      <c r="F146">
        <v>9.15</v>
      </c>
      <c r="G146">
        <v>911110</v>
      </c>
      <c r="H146" t="s">
        <v>22</v>
      </c>
      <c r="I146" t="s">
        <v>18</v>
      </c>
      <c r="J146">
        <v>24</v>
      </c>
      <c r="K146">
        <v>271888</v>
      </c>
      <c r="L146">
        <v>2022</v>
      </c>
    </row>
    <row r="147" spans="1:12" x14ac:dyDescent="0.35">
      <c r="A147">
        <v>146</v>
      </c>
      <c r="B147" s="1">
        <v>44651</v>
      </c>
      <c r="C147" t="s">
        <v>16</v>
      </c>
      <c r="D147" t="s">
        <v>25</v>
      </c>
      <c r="E147">
        <v>1.78</v>
      </c>
      <c r="F147">
        <v>4.38</v>
      </c>
      <c r="G147">
        <v>323197</v>
      </c>
      <c r="H147" t="s">
        <v>26</v>
      </c>
      <c r="I147" t="s">
        <v>15</v>
      </c>
      <c r="J147">
        <v>33</v>
      </c>
      <c r="K147">
        <v>172477</v>
      </c>
      <c r="L147">
        <v>2022</v>
      </c>
    </row>
    <row r="148" spans="1:12" x14ac:dyDescent="0.35">
      <c r="A148">
        <v>147</v>
      </c>
      <c r="B148" s="1">
        <v>45239</v>
      </c>
      <c r="C148" t="s">
        <v>20</v>
      </c>
      <c r="D148" t="s">
        <v>13</v>
      </c>
      <c r="E148">
        <v>3.02</v>
      </c>
      <c r="F148">
        <v>3.93</v>
      </c>
      <c r="G148">
        <v>279709</v>
      </c>
      <c r="H148" t="s">
        <v>17</v>
      </c>
      <c r="I148" t="s">
        <v>18</v>
      </c>
      <c r="J148">
        <v>20</v>
      </c>
      <c r="K148">
        <v>32462</v>
      </c>
      <c r="L148">
        <v>2023</v>
      </c>
    </row>
    <row r="149" spans="1:12" x14ac:dyDescent="0.35">
      <c r="A149">
        <v>148</v>
      </c>
      <c r="B149" s="1">
        <v>44799</v>
      </c>
      <c r="C149" t="s">
        <v>28</v>
      </c>
      <c r="D149" t="s">
        <v>13</v>
      </c>
      <c r="E149">
        <v>3.84</v>
      </c>
      <c r="F149">
        <v>8.2200000000000006</v>
      </c>
      <c r="G149">
        <v>648572</v>
      </c>
      <c r="H149" t="s">
        <v>17</v>
      </c>
      <c r="I149" t="s">
        <v>15</v>
      </c>
      <c r="J149">
        <v>10</v>
      </c>
      <c r="K149">
        <v>277117</v>
      </c>
      <c r="L149">
        <v>2022</v>
      </c>
    </row>
    <row r="150" spans="1:12" x14ac:dyDescent="0.35">
      <c r="A150">
        <v>149</v>
      </c>
      <c r="B150" s="1">
        <v>44286</v>
      </c>
      <c r="C150" t="s">
        <v>27</v>
      </c>
      <c r="D150" t="s">
        <v>25</v>
      </c>
      <c r="E150">
        <v>0.3</v>
      </c>
      <c r="F150">
        <v>6.12</v>
      </c>
      <c r="G150">
        <v>261824</v>
      </c>
      <c r="H150" t="s">
        <v>17</v>
      </c>
      <c r="I150" t="s">
        <v>18</v>
      </c>
      <c r="J150">
        <v>4</v>
      </c>
      <c r="K150">
        <v>33643</v>
      </c>
      <c r="L150">
        <v>2021</v>
      </c>
    </row>
    <row r="151" spans="1:12" x14ac:dyDescent="0.35">
      <c r="A151">
        <v>150</v>
      </c>
      <c r="B151" s="1">
        <v>45383</v>
      </c>
      <c r="C151" t="s">
        <v>24</v>
      </c>
      <c r="D151" t="s">
        <v>23</v>
      </c>
      <c r="E151">
        <v>1.34</v>
      </c>
      <c r="F151">
        <v>9.9</v>
      </c>
      <c r="G151">
        <v>870136</v>
      </c>
      <c r="H151" t="s">
        <v>17</v>
      </c>
      <c r="I151" t="s">
        <v>18</v>
      </c>
      <c r="J151">
        <v>5</v>
      </c>
      <c r="K151">
        <v>103039</v>
      </c>
      <c r="L151">
        <v>2024</v>
      </c>
    </row>
    <row r="152" spans="1:12" x14ac:dyDescent="0.35">
      <c r="A152">
        <v>151</v>
      </c>
      <c r="B152" s="1">
        <v>45566</v>
      </c>
      <c r="C152" t="s">
        <v>24</v>
      </c>
      <c r="D152" t="s">
        <v>13</v>
      </c>
      <c r="E152">
        <v>2.88</v>
      </c>
      <c r="F152">
        <v>8.9499999999999993</v>
      </c>
      <c r="G152">
        <v>755954</v>
      </c>
      <c r="H152" t="s">
        <v>14</v>
      </c>
      <c r="I152" t="s">
        <v>18</v>
      </c>
      <c r="J152">
        <v>9</v>
      </c>
      <c r="K152">
        <v>31517</v>
      </c>
      <c r="L152">
        <v>2024</v>
      </c>
    </row>
    <row r="153" spans="1:12" x14ac:dyDescent="0.35">
      <c r="A153">
        <v>152</v>
      </c>
      <c r="B153" s="1">
        <v>45263</v>
      </c>
      <c r="C153" t="s">
        <v>16</v>
      </c>
      <c r="D153" t="s">
        <v>13</v>
      </c>
      <c r="E153">
        <v>2.16</v>
      </c>
      <c r="F153">
        <v>5.6</v>
      </c>
      <c r="G153">
        <v>78012</v>
      </c>
      <c r="H153" t="s">
        <v>14</v>
      </c>
      <c r="I153" t="s">
        <v>15</v>
      </c>
      <c r="J153">
        <v>50</v>
      </c>
      <c r="K153">
        <v>209091</v>
      </c>
      <c r="L153">
        <v>2023</v>
      </c>
    </row>
    <row r="154" spans="1:12" x14ac:dyDescent="0.35">
      <c r="A154">
        <v>153</v>
      </c>
      <c r="B154" s="1">
        <v>44431</v>
      </c>
      <c r="C154" t="s">
        <v>28</v>
      </c>
      <c r="D154" t="s">
        <v>25</v>
      </c>
      <c r="E154">
        <v>1.19</v>
      </c>
      <c r="F154">
        <v>4.95</v>
      </c>
      <c r="G154">
        <v>835390</v>
      </c>
      <c r="H154" t="s">
        <v>21</v>
      </c>
      <c r="I154" t="s">
        <v>18</v>
      </c>
      <c r="J154">
        <v>50</v>
      </c>
      <c r="K154">
        <v>95681</v>
      </c>
      <c r="L154">
        <v>2021</v>
      </c>
    </row>
    <row r="155" spans="1:12" x14ac:dyDescent="0.35">
      <c r="A155">
        <v>154</v>
      </c>
      <c r="B155" s="1">
        <v>44795</v>
      </c>
      <c r="C155" t="s">
        <v>27</v>
      </c>
      <c r="D155" t="s">
        <v>29</v>
      </c>
      <c r="E155">
        <v>1</v>
      </c>
      <c r="F155">
        <v>3.77</v>
      </c>
      <c r="G155">
        <v>834332</v>
      </c>
      <c r="H155" t="s">
        <v>22</v>
      </c>
      <c r="I155" t="s">
        <v>15</v>
      </c>
      <c r="J155">
        <v>12</v>
      </c>
      <c r="K155">
        <v>206422</v>
      </c>
      <c r="L155">
        <v>2022</v>
      </c>
    </row>
    <row r="156" spans="1:12" x14ac:dyDescent="0.35">
      <c r="A156">
        <v>155</v>
      </c>
      <c r="B156" s="1">
        <v>45631</v>
      </c>
      <c r="C156" t="s">
        <v>30</v>
      </c>
      <c r="D156" t="s">
        <v>23</v>
      </c>
      <c r="E156">
        <v>1.29</v>
      </c>
      <c r="F156">
        <v>2.94</v>
      </c>
      <c r="G156">
        <v>351838</v>
      </c>
      <c r="H156" t="s">
        <v>22</v>
      </c>
      <c r="I156" t="s">
        <v>18</v>
      </c>
      <c r="J156">
        <v>19</v>
      </c>
      <c r="K156">
        <v>108824</v>
      </c>
      <c r="L156">
        <v>2024</v>
      </c>
    </row>
    <row r="157" spans="1:12" x14ac:dyDescent="0.35">
      <c r="A157">
        <v>156</v>
      </c>
      <c r="B157" s="1">
        <v>44322</v>
      </c>
      <c r="C157" t="s">
        <v>27</v>
      </c>
      <c r="D157" t="s">
        <v>19</v>
      </c>
      <c r="E157">
        <v>0.8</v>
      </c>
      <c r="F157">
        <v>6.06</v>
      </c>
      <c r="G157">
        <v>374417</v>
      </c>
      <c r="H157" t="s">
        <v>22</v>
      </c>
      <c r="I157" t="s">
        <v>15</v>
      </c>
      <c r="J157">
        <v>41</v>
      </c>
      <c r="K157">
        <v>210247</v>
      </c>
      <c r="L157">
        <v>2021</v>
      </c>
    </row>
    <row r="158" spans="1:12" x14ac:dyDescent="0.35">
      <c r="A158">
        <v>157</v>
      </c>
      <c r="B158" s="1">
        <v>44186</v>
      </c>
      <c r="C158" t="s">
        <v>27</v>
      </c>
      <c r="D158" t="s">
        <v>13</v>
      </c>
      <c r="E158">
        <v>3.34</v>
      </c>
      <c r="F158">
        <v>7.9</v>
      </c>
      <c r="G158">
        <v>958316</v>
      </c>
      <c r="H158" t="s">
        <v>14</v>
      </c>
      <c r="I158" t="s">
        <v>18</v>
      </c>
      <c r="J158">
        <v>45</v>
      </c>
      <c r="K158">
        <v>116621</v>
      </c>
      <c r="L158">
        <v>2020</v>
      </c>
    </row>
    <row r="159" spans="1:12" x14ac:dyDescent="0.35">
      <c r="A159">
        <v>158</v>
      </c>
      <c r="B159" s="1">
        <v>44174</v>
      </c>
      <c r="C159" t="s">
        <v>28</v>
      </c>
      <c r="D159" t="s">
        <v>23</v>
      </c>
      <c r="E159">
        <v>0.54</v>
      </c>
      <c r="F159">
        <v>2.23</v>
      </c>
      <c r="G159">
        <v>902918</v>
      </c>
      <c r="H159" t="s">
        <v>26</v>
      </c>
      <c r="I159" t="s">
        <v>18</v>
      </c>
      <c r="J159">
        <v>4</v>
      </c>
      <c r="K159">
        <v>191714</v>
      </c>
      <c r="L159">
        <v>2020</v>
      </c>
    </row>
    <row r="160" spans="1:12" x14ac:dyDescent="0.35">
      <c r="A160">
        <v>159</v>
      </c>
      <c r="B160" s="1">
        <v>45368</v>
      </c>
      <c r="C160" t="s">
        <v>24</v>
      </c>
      <c r="D160" t="s">
        <v>29</v>
      </c>
      <c r="E160">
        <v>1.24</v>
      </c>
      <c r="F160">
        <v>2.02</v>
      </c>
      <c r="G160">
        <v>798092</v>
      </c>
      <c r="H160" t="s">
        <v>22</v>
      </c>
      <c r="I160" t="s">
        <v>18</v>
      </c>
      <c r="J160">
        <v>13</v>
      </c>
      <c r="K160">
        <v>245954</v>
      </c>
      <c r="L160">
        <v>2024</v>
      </c>
    </row>
    <row r="161" spans="1:12" x14ac:dyDescent="0.35">
      <c r="A161">
        <v>160</v>
      </c>
      <c r="B161" s="1">
        <v>44713</v>
      </c>
      <c r="C161" t="s">
        <v>30</v>
      </c>
      <c r="D161" t="s">
        <v>23</v>
      </c>
      <c r="E161">
        <v>0.38</v>
      </c>
      <c r="F161">
        <v>4.8600000000000003</v>
      </c>
      <c r="G161">
        <v>721729</v>
      </c>
      <c r="H161" t="s">
        <v>17</v>
      </c>
      <c r="I161" t="s">
        <v>18</v>
      </c>
      <c r="J161">
        <v>22</v>
      </c>
      <c r="K161">
        <v>13812</v>
      </c>
      <c r="L161">
        <v>2022</v>
      </c>
    </row>
    <row r="162" spans="1:12" x14ac:dyDescent="0.35">
      <c r="A162">
        <v>161</v>
      </c>
      <c r="B162" s="1">
        <v>44988</v>
      </c>
      <c r="C162" t="s">
        <v>20</v>
      </c>
      <c r="D162" t="s">
        <v>13</v>
      </c>
      <c r="E162">
        <v>2.2599999999999998</v>
      </c>
      <c r="F162">
        <v>8.4700000000000006</v>
      </c>
      <c r="G162">
        <v>803376</v>
      </c>
      <c r="H162" t="s">
        <v>21</v>
      </c>
      <c r="I162" t="s">
        <v>15</v>
      </c>
      <c r="J162">
        <v>4</v>
      </c>
      <c r="K162">
        <v>219685</v>
      </c>
      <c r="L162">
        <v>2023</v>
      </c>
    </row>
    <row r="163" spans="1:12" x14ac:dyDescent="0.35">
      <c r="A163">
        <v>162</v>
      </c>
      <c r="B163" s="1">
        <v>44897</v>
      </c>
      <c r="C163" t="s">
        <v>20</v>
      </c>
      <c r="D163" t="s">
        <v>23</v>
      </c>
      <c r="E163">
        <v>1.1499999999999999</v>
      </c>
      <c r="F163">
        <v>6.26</v>
      </c>
      <c r="G163">
        <v>102445</v>
      </c>
      <c r="H163" t="s">
        <v>21</v>
      </c>
      <c r="I163" t="s">
        <v>18</v>
      </c>
      <c r="J163">
        <v>18</v>
      </c>
      <c r="K163">
        <v>299139</v>
      </c>
      <c r="L163">
        <v>2022</v>
      </c>
    </row>
    <row r="164" spans="1:12" x14ac:dyDescent="0.35">
      <c r="A164">
        <v>163</v>
      </c>
      <c r="B164" s="1">
        <v>44737</v>
      </c>
      <c r="C164" t="s">
        <v>20</v>
      </c>
      <c r="D164" t="s">
        <v>13</v>
      </c>
      <c r="E164">
        <v>1.34</v>
      </c>
      <c r="F164">
        <v>6.35</v>
      </c>
      <c r="G164">
        <v>995467</v>
      </c>
      <c r="H164" t="s">
        <v>26</v>
      </c>
      <c r="I164" t="s">
        <v>15</v>
      </c>
      <c r="J164">
        <v>45</v>
      </c>
      <c r="K164">
        <v>116407</v>
      </c>
      <c r="L164">
        <v>2022</v>
      </c>
    </row>
    <row r="165" spans="1:12" x14ac:dyDescent="0.35">
      <c r="A165">
        <v>164</v>
      </c>
      <c r="B165" s="1">
        <v>44221</v>
      </c>
      <c r="C165" t="s">
        <v>24</v>
      </c>
      <c r="D165" t="s">
        <v>19</v>
      </c>
      <c r="E165">
        <v>3.48</v>
      </c>
      <c r="F165">
        <v>5.76</v>
      </c>
      <c r="G165">
        <v>649854</v>
      </c>
      <c r="H165" t="s">
        <v>26</v>
      </c>
      <c r="I165" t="s">
        <v>15</v>
      </c>
      <c r="J165">
        <v>14</v>
      </c>
      <c r="K165">
        <v>182710</v>
      </c>
      <c r="L165">
        <v>2021</v>
      </c>
    </row>
    <row r="166" spans="1:12" x14ac:dyDescent="0.35">
      <c r="A166">
        <v>165</v>
      </c>
      <c r="B166" s="1">
        <v>44495</v>
      </c>
      <c r="C166" t="s">
        <v>16</v>
      </c>
      <c r="D166" t="s">
        <v>13</v>
      </c>
      <c r="E166">
        <v>0.21</v>
      </c>
      <c r="F166">
        <v>3.87</v>
      </c>
      <c r="G166">
        <v>717610</v>
      </c>
      <c r="H166" t="s">
        <v>14</v>
      </c>
      <c r="I166" t="s">
        <v>15</v>
      </c>
      <c r="J166">
        <v>43</v>
      </c>
      <c r="K166">
        <v>282980</v>
      </c>
      <c r="L166">
        <v>2021</v>
      </c>
    </row>
    <row r="167" spans="1:12" x14ac:dyDescent="0.35">
      <c r="A167">
        <v>166</v>
      </c>
      <c r="B167" s="1">
        <v>43911</v>
      </c>
      <c r="C167" t="s">
        <v>20</v>
      </c>
      <c r="D167" t="s">
        <v>25</v>
      </c>
      <c r="E167">
        <v>0.89</v>
      </c>
      <c r="F167">
        <v>2.68</v>
      </c>
      <c r="G167">
        <v>657468</v>
      </c>
      <c r="H167" t="s">
        <v>26</v>
      </c>
      <c r="I167" t="s">
        <v>18</v>
      </c>
      <c r="J167">
        <v>32</v>
      </c>
      <c r="K167">
        <v>156302</v>
      </c>
      <c r="L167">
        <v>2020</v>
      </c>
    </row>
    <row r="168" spans="1:12" x14ac:dyDescent="0.35">
      <c r="A168">
        <v>167</v>
      </c>
      <c r="B168" s="1">
        <v>44814</v>
      </c>
      <c r="C168" t="s">
        <v>24</v>
      </c>
      <c r="D168" t="s">
        <v>19</v>
      </c>
      <c r="E168">
        <v>2.98</v>
      </c>
      <c r="F168">
        <v>9.81</v>
      </c>
      <c r="G168">
        <v>459625</v>
      </c>
      <c r="H168" t="s">
        <v>26</v>
      </c>
      <c r="I168" t="s">
        <v>15</v>
      </c>
      <c r="J168">
        <v>32</v>
      </c>
      <c r="K168">
        <v>63728</v>
      </c>
      <c r="L168">
        <v>2022</v>
      </c>
    </row>
    <row r="169" spans="1:12" x14ac:dyDescent="0.35">
      <c r="A169">
        <v>168</v>
      </c>
      <c r="B169" s="1">
        <v>44752</v>
      </c>
      <c r="C169" t="s">
        <v>28</v>
      </c>
      <c r="D169" t="s">
        <v>23</v>
      </c>
      <c r="E169">
        <v>3.46</v>
      </c>
      <c r="F169">
        <v>8</v>
      </c>
      <c r="G169">
        <v>898894</v>
      </c>
      <c r="H169" t="s">
        <v>14</v>
      </c>
      <c r="I169" t="s">
        <v>18</v>
      </c>
      <c r="J169">
        <v>16</v>
      </c>
      <c r="K169">
        <v>44640</v>
      </c>
      <c r="L169">
        <v>2022</v>
      </c>
    </row>
    <row r="170" spans="1:12" x14ac:dyDescent="0.35">
      <c r="A170">
        <v>169</v>
      </c>
      <c r="B170" s="1">
        <v>44749</v>
      </c>
      <c r="C170" t="s">
        <v>24</v>
      </c>
      <c r="D170" t="s">
        <v>23</v>
      </c>
      <c r="E170">
        <v>1.83</v>
      </c>
      <c r="F170">
        <v>5.33</v>
      </c>
      <c r="G170">
        <v>667436</v>
      </c>
      <c r="H170" t="s">
        <v>21</v>
      </c>
      <c r="I170" t="s">
        <v>15</v>
      </c>
      <c r="J170">
        <v>1</v>
      </c>
      <c r="K170">
        <v>113902</v>
      </c>
      <c r="L170">
        <v>2022</v>
      </c>
    </row>
    <row r="171" spans="1:12" x14ac:dyDescent="0.35">
      <c r="A171">
        <v>170</v>
      </c>
      <c r="B171" s="1">
        <v>44720</v>
      </c>
      <c r="C171" t="s">
        <v>24</v>
      </c>
      <c r="D171" t="s">
        <v>23</v>
      </c>
      <c r="E171">
        <v>4.6500000000000004</v>
      </c>
      <c r="F171">
        <v>7.1</v>
      </c>
      <c r="G171">
        <v>185731</v>
      </c>
      <c r="H171" t="s">
        <v>22</v>
      </c>
      <c r="I171" t="s">
        <v>18</v>
      </c>
      <c r="J171">
        <v>32</v>
      </c>
      <c r="K171">
        <v>157734</v>
      </c>
      <c r="L171">
        <v>2022</v>
      </c>
    </row>
    <row r="172" spans="1:12" x14ac:dyDescent="0.35">
      <c r="A172">
        <v>171</v>
      </c>
      <c r="B172" s="1">
        <v>44405</v>
      </c>
      <c r="C172" t="s">
        <v>27</v>
      </c>
      <c r="D172" t="s">
        <v>13</v>
      </c>
      <c r="E172">
        <v>1.83</v>
      </c>
      <c r="F172">
        <v>1.84</v>
      </c>
      <c r="G172">
        <v>649833</v>
      </c>
      <c r="H172" t="s">
        <v>22</v>
      </c>
      <c r="I172" t="s">
        <v>18</v>
      </c>
      <c r="J172">
        <v>35</v>
      </c>
      <c r="K172">
        <v>280288</v>
      </c>
      <c r="L172">
        <v>2021</v>
      </c>
    </row>
    <row r="173" spans="1:12" x14ac:dyDescent="0.35">
      <c r="A173">
        <v>172</v>
      </c>
      <c r="B173" s="1">
        <v>45181</v>
      </c>
      <c r="C173" t="s">
        <v>16</v>
      </c>
      <c r="D173" t="s">
        <v>29</v>
      </c>
      <c r="E173">
        <v>1.77</v>
      </c>
      <c r="F173">
        <v>2.6</v>
      </c>
      <c r="G173">
        <v>973414</v>
      </c>
      <c r="H173" t="s">
        <v>14</v>
      </c>
      <c r="I173" t="s">
        <v>15</v>
      </c>
      <c r="J173">
        <v>27</v>
      </c>
      <c r="K173">
        <v>78524</v>
      </c>
      <c r="L173">
        <v>2023</v>
      </c>
    </row>
    <row r="174" spans="1:12" x14ac:dyDescent="0.35">
      <c r="A174">
        <v>173</v>
      </c>
      <c r="B174" s="1">
        <v>45548</v>
      </c>
      <c r="C174" t="s">
        <v>27</v>
      </c>
      <c r="D174" t="s">
        <v>25</v>
      </c>
      <c r="E174">
        <v>0.87</v>
      </c>
      <c r="F174">
        <v>6.03</v>
      </c>
      <c r="G174">
        <v>479900</v>
      </c>
      <c r="H174" t="s">
        <v>14</v>
      </c>
      <c r="I174" t="s">
        <v>15</v>
      </c>
      <c r="J174">
        <v>34</v>
      </c>
      <c r="K174">
        <v>242289</v>
      </c>
      <c r="L174">
        <v>2024</v>
      </c>
    </row>
    <row r="175" spans="1:12" x14ac:dyDescent="0.35">
      <c r="A175">
        <v>174</v>
      </c>
      <c r="B175" s="1">
        <v>44291</v>
      </c>
      <c r="C175" t="s">
        <v>27</v>
      </c>
      <c r="D175" t="s">
        <v>23</v>
      </c>
      <c r="E175">
        <v>2.38</v>
      </c>
      <c r="F175">
        <v>2.17</v>
      </c>
      <c r="G175">
        <v>580157</v>
      </c>
      <c r="H175" t="s">
        <v>26</v>
      </c>
      <c r="I175" t="s">
        <v>15</v>
      </c>
      <c r="J175">
        <v>12</v>
      </c>
      <c r="K175">
        <v>121677</v>
      </c>
      <c r="L175">
        <v>2021</v>
      </c>
    </row>
    <row r="176" spans="1:12" x14ac:dyDescent="0.35">
      <c r="A176">
        <v>175</v>
      </c>
      <c r="B176" s="1">
        <v>44983</v>
      </c>
      <c r="C176" t="s">
        <v>28</v>
      </c>
      <c r="D176" t="s">
        <v>25</v>
      </c>
      <c r="E176">
        <v>1.0900000000000001</v>
      </c>
      <c r="F176">
        <v>9.4600000000000009</v>
      </c>
      <c r="G176">
        <v>502734</v>
      </c>
      <c r="H176" t="s">
        <v>26</v>
      </c>
      <c r="I176" t="s">
        <v>15</v>
      </c>
      <c r="J176">
        <v>19</v>
      </c>
      <c r="K176">
        <v>30653</v>
      </c>
      <c r="L176">
        <v>2023</v>
      </c>
    </row>
    <row r="177" spans="1:12" x14ac:dyDescent="0.35">
      <c r="A177">
        <v>176</v>
      </c>
      <c r="B177" s="1">
        <v>44018</v>
      </c>
      <c r="C177" t="s">
        <v>27</v>
      </c>
      <c r="D177" t="s">
        <v>13</v>
      </c>
      <c r="E177">
        <v>0.41</v>
      </c>
      <c r="F177">
        <v>0.86</v>
      </c>
      <c r="G177">
        <v>263180</v>
      </c>
      <c r="H177" t="s">
        <v>22</v>
      </c>
      <c r="I177" t="s">
        <v>15</v>
      </c>
      <c r="J177">
        <v>47</v>
      </c>
      <c r="K177">
        <v>209162</v>
      </c>
      <c r="L177">
        <v>2020</v>
      </c>
    </row>
    <row r="178" spans="1:12" x14ac:dyDescent="0.35">
      <c r="A178">
        <v>177</v>
      </c>
      <c r="B178" s="1">
        <v>45228</v>
      </c>
      <c r="C178" t="s">
        <v>27</v>
      </c>
      <c r="D178" t="s">
        <v>29</v>
      </c>
      <c r="E178">
        <v>0.57999999999999996</v>
      </c>
      <c r="F178">
        <v>0.83</v>
      </c>
      <c r="G178">
        <v>447069</v>
      </c>
      <c r="H178" t="s">
        <v>17</v>
      </c>
      <c r="I178" t="s">
        <v>15</v>
      </c>
      <c r="J178">
        <v>38</v>
      </c>
      <c r="K178">
        <v>60042</v>
      </c>
      <c r="L178">
        <v>2023</v>
      </c>
    </row>
    <row r="179" spans="1:12" x14ac:dyDescent="0.35">
      <c r="A179">
        <v>178</v>
      </c>
      <c r="B179" s="1">
        <v>44542</v>
      </c>
      <c r="C179" t="s">
        <v>20</v>
      </c>
      <c r="D179" t="s">
        <v>13</v>
      </c>
      <c r="E179">
        <v>3.15</v>
      </c>
      <c r="F179">
        <v>9.5</v>
      </c>
      <c r="G179">
        <v>776092</v>
      </c>
      <c r="H179" t="s">
        <v>14</v>
      </c>
      <c r="I179" t="s">
        <v>15</v>
      </c>
      <c r="J179">
        <v>21</v>
      </c>
      <c r="K179">
        <v>270076</v>
      </c>
      <c r="L179">
        <v>2021</v>
      </c>
    </row>
    <row r="180" spans="1:12" x14ac:dyDescent="0.35">
      <c r="A180">
        <v>179</v>
      </c>
      <c r="B180" s="1">
        <v>44452</v>
      </c>
      <c r="C180" t="s">
        <v>24</v>
      </c>
      <c r="D180" t="s">
        <v>29</v>
      </c>
      <c r="E180">
        <v>0.48</v>
      </c>
      <c r="F180">
        <v>2.09</v>
      </c>
      <c r="G180">
        <v>617827</v>
      </c>
      <c r="H180" t="s">
        <v>26</v>
      </c>
      <c r="I180" t="s">
        <v>18</v>
      </c>
      <c r="J180">
        <v>15</v>
      </c>
      <c r="K180">
        <v>171270</v>
      </c>
      <c r="L180">
        <v>2021</v>
      </c>
    </row>
    <row r="181" spans="1:12" x14ac:dyDescent="0.35">
      <c r="A181">
        <v>180</v>
      </c>
      <c r="B181" s="1">
        <v>43913</v>
      </c>
      <c r="C181" t="s">
        <v>12</v>
      </c>
      <c r="D181" t="s">
        <v>23</v>
      </c>
      <c r="E181">
        <v>3.3</v>
      </c>
      <c r="F181">
        <v>2.12</v>
      </c>
      <c r="G181">
        <v>437712</v>
      </c>
      <c r="H181" t="s">
        <v>21</v>
      </c>
      <c r="I181" t="s">
        <v>15</v>
      </c>
      <c r="J181">
        <v>2</v>
      </c>
      <c r="K181">
        <v>169907</v>
      </c>
      <c r="L181">
        <v>2020</v>
      </c>
    </row>
    <row r="182" spans="1:12" x14ac:dyDescent="0.35">
      <c r="A182">
        <v>181</v>
      </c>
      <c r="B182" s="1">
        <v>45490</v>
      </c>
      <c r="C182" t="s">
        <v>16</v>
      </c>
      <c r="D182" t="s">
        <v>25</v>
      </c>
      <c r="E182">
        <v>1.5</v>
      </c>
      <c r="F182">
        <v>8.77</v>
      </c>
      <c r="G182">
        <v>860297</v>
      </c>
      <c r="H182" t="s">
        <v>17</v>
      </c>
      <c r="I182" t="s">
        <v>15</v>
      </c>
      <c r="J182">
        <v>34</v>
      </c>
      <c r="K182">
        <v>218463</v>
      </c>
      <c r="L182">
        <v>2024</v>
      </c>
    </row>
    <row r="183" spans="1:12" x14ac:dyDescent="0.35">
      <c r="A183">
        <v>182</v>
      </c>
      <c r="B183" s="1">
        <v>44334</v>
      </c>
      <c r="C183" t="s">
        <v>24</v>
      </c>
      <c r="D183" t="s">
        <v>13</v>
      </c>
      <c r="E183">
        <v>0.41</v>
      </c>
      <c r="F183">
        <v>5.69</v>
      </c>
      <c r="G183">
        <v>630950</v>
      </c>
      <c r="H183" t="s">
        <v>26</v>
      </c>
      <c r="I183" t="s">
        <v>18</v>
      </c>
      <c r="J183">
        <v>11</v>
      </c>
      <c r="K183">
        <v>193382</v>
      </c>
      <c r="L183">
        <v>2021</v>
      </c>
    </row>
    <row r="184" spans="1:12" x14ac:dyDescent="0.35">
      <c r="A184">
        <v>183</v>
      </c>
      <c r="B184" s="1">
        <v>43990</v>
      </c>
      <c r="C184" t="s">
        <v>27</v>
      </c>
      <c r="D184" t="s">
        <v>29</v>
      </c>
      <c r="E184">
        <v>2.5099999999999998</v>
      </c>
      <c r="F184">
        <v>5.98</v>
      </c>
      <c r="G184">
        <v>130556</v>
      </c>
      <c r="H184" t="s">
        <v>26</v>
      </c>
      <c r="I184" t="s">
        <v>18</v>
      </c>
      <c r="J184">
        <v>38</v>
      </c>
      <c r="K184">
        <v>186314</v>
      </c>
      <c r="L184">
        <v>2020</v>
      </c>
    </row>
    <row r="185" spans="1:12" x14ac:dyDescent="0.35">
      <c r="A185">
        <v>184</v>
      </c>
      <c r="B185" s="1">
        <v>44726</v>
      </c>
      <c r="C185" t="s">
        <v>20</v>
      </c>
      <c r="D185" t="s">
        <v>13</v>
      </c>
      <c r="E185">
        <v>0.28999999999999998</v>
      </c>
      <c r="F185">
        <v>2.78</v>
      </c>
      <c r="G185">
        <v>268410</v>
      </c>
      <c r="H185" t="s">
        <v>17</v>
      </c>
      <c r="I185" t="s">
        <v>18</v>
      </c>
      <c r="J185">
        <v>38</v>
      </c>
      <c r="K185">
        <v>180046</v>
      </c>
      <c r="L185">
        <v>2022</v>
      </c>
    </row>
    <row r="186" spans="1:12" x14ac:dyDescent="0.35">
      <c r="A186">
        <v>185</v>
      </c>
      <c r="B186" s="1">
        <v>45218</v>
      </c>
      <c r="C186" t="s">
        <v>27</v>
      </c>
      <c r="D186" t="s">
        <v>19</v>
      </c>
      <c r="E186">
        <v>4.5599999999999996</v>
      </c>
      <c r="F186">
        <v>5.08</v>
      </c>
      <c r="G186">
        <v>511081</v>
      </c>
      <c r="H186" t="s">
        <v>26</v>
      </c>
      <c r="I186" t="s">
        <v>15</v>
      </c>
      <c r="J186">
        <v>3</v>
      </c>
      <c r="K186">
        <v>57965</v>
      </c>
      <c r="L186">
        <v>2023</v>
      </c>
    </row>
    <row r="187" spans="1:12" x14ac:dyDescent="0.35">
      <c r="A187">
        <v>186</v>
      </c>
      <c r="B187" s="1">
        <v>44842</v>
      </c>
      <c r="C187" t="s">
        <v>24</v>
      </c>
      <c r="D187" t="s">
        <v>25</v>
      </c>
      <c r="E187">
        <v>4</v>
      </c>
      <c r="F187">
        <v>4.8099999999999996</v>
      </c>
      <c r="G187">
        <v>531005</v>
      </c>
      <c r="H187" t="s">
        <v>21</v>
      </c>
      <c r="I187" t="s">
        <v>15</v>
      </c>
      <c r="J187">
        <v>10</v>
      </c>
      <c r="K187">
        <v>106437</v>
      </c>
      <c r="L187">
        <v>2022</v>
      </c>
    </row>
    <row r="188" spans="1:12" x14ac:dyDescent="0.35">
      <c r="A188">
        <v>187</v>
      </c>
      <c r="B188" s="1">
        <v>44564</v>
      </c>
      <c r="C188" t="s">
        <v>28</v>
      </c>
      <c r="D188" t="s">
        <v>23</v>
      </c>
      <c r="E188">
        <v>3.84</v>
      </c>
      <c r="F188">
        <v>1.29</v>
      </c>
      <c r="G188">
        <v>589591</v>
      </c>
      <c r="H188" t="s">
        <v>22</v>
      </c>
      <c r="I188" t="s">
        <v>18</v>
      </c>
      <c r="J188">
        <v>3</v>
      </c>
      <c r="K188">
        <v>22929</v>
      </c>
      <c r="L188">
        <v>2022</v>
      </c>
    </row>
    <row r="189" spans="1:12" x14ac:dyDescent="0.35">
      <c r="A189">
        <v>188</v>
      </c>
      <c r="B189" s="1">
        <v>44912</v>
      </c>
      <c r="C189" t="s">
        <v>20</v>
      </c>
      <c r="D189" t="s">
        <v>23</v>
      </c>
      <c r="E189">
        <v>3.67</v>
      </c>
      <c r="F189">
        <v>4.25</v>
      </c>
      <c r="G189">
        <v>557680</v>
      </c>
      <c r="H189" t="s">
        <v>21</v>
      </c>
      <c r="I189" t="s">
        <v>15</v>
      </c>
      <c r="J189">
        <v>44</v>
      </c>
      <c r="K189">
        <v>116077</v>
      </c>
      <c r="L189">
        <v>2022</v>
      </c>
    </row>
    <row r="190" spans="1:12" x14ac:dyDescent="0.35">
      <c r="A190">
        <v>189</v>
      </c>
      <c r="B190" s="1">
        <v>44860</v>
      </c>
      <c r="C190" t="s">
        <v>27</v>
      </c>
      <c r="D190" t="s">
        <v>23</v>
      </c>
      <c r="E190">
        <v>3.87</v>
      </c>
      <c r="F190">
        <v>9.25</v>
      </c>
      <c r="G190">
        <v>823449</v>
      </c>
      <c r="H190" t="s">
        <v>21</v>
      </c>
      <c r="I190" t="s">
        <v>15</v>
      </c>
      <c r="J190">
        <v>5</v>
      </c>
      <c r="K190">
        <v>144799</v>
      </c>
      <c r="L190">
        <v>2022</v>
      </c>
    </row>
    <row r="191" spans="1:12" x14ac:dyDescent="0.35">
      <c r="A191">
        <v>190</v>
      </c>
      <c r="B191" s="1">
        <v>45246</v>
      </c>
      <c r="C191" t="s">
        <v>16</v>
      </c>
      <c r="D191" t="s">
        <v>25</v>
      </c>
      <c r="E191">
        <v>1.9</v>
      </c>
      <c r="F191">
        <v>8.32</v>
      </c>
      <c r="G191">
        <v>466039</v>
      </c>
      <c r="H191" t="s">
        <v>26</v>
      </c>
      <c r="I191" t="s">
        <v>18</v>
      </c>
      <c r="J191">
        <v>38</v>
      </c>
      <c r="K191">
        <v>268824</v>
      </c>
      <c r="L191">
        <v>2023</v>
      </c>
    </row>
    <row r="192" spans="1:12" x14ac:dyDescent="0.35">
      <c r="A192">
        <v>191</v>
      </c>
      <c r="B192" s="1">
        <v>44421</v>
      </c>
      <c r="C192" t="s">
        <v>28</v>
      </c>
      <c r="D192" t="s">
        <v>19</v>
      </c>
      <c r="E192">
        <v>1.49</v>
      </c>
      <c r="F192">
        <v>0.26</v>
      </c>
      <c r="G192">
        <v>566527</v>
      </c>
      <c r="H192" t="s">
        <v>17</v>
      </c>
      <c r="I192" t="s">
        <v>18</v>
      </c>
      <c r="J192">
        <v>21</v>
      </c>
      <c r="K192">
        <v>212753</v>
      </c>
      <c r="L192">
        <v>2021</v>
      </c>
    </row>
    <row r="193" spans="1:12" x14ac:dyDescent="0.35">
      <c r="A193">
        <v>192</v>
      </c>
      <c r="B193" s="1">
        <v>44918</v>
      </c>
      <c r="C193" t="s">
        <v>27</v>
      </c>
      <c r="D193" t="s">
        <v>29</v>
      </c>
      <c r="E193">
        <v>1.36</v>
      </c>
      <c r="F193">
        <v>9.2200000000000006</v>
      </c>
      <c r="G193">
        <v>788610</v>
      </c>
      <c r="H193" t="s">
        <v>17</v>
      </c>
      <c r="I193" t="s">
        <v>18</v>
      </c>
      <c r="J193">
        <v>45</v>
      </c>
      <c r="K193">
        <v>256166</v>
      </c>
      <c r="L193">
        <v>2022</v>
      </c>
    </row>
    <row r="194" spans="1:12" x14ac:dyDescent="0.35">
      <c r="A194">
        <v>193</v>
      </c>
      <c r="B194" s="1">
        <v>45474</v>
      </c>
      <c r="C194" t="s">
        <v>30</v>
      </c>
      <c r="D194" t="s">
        <v>25</v>
      </c>
      <c r="E194">
        <v>3.46</v>
      </c>
      <c r="F194">
        <v>2.93</v>
      </c>
      <c r="G194">
        <v>261120</v>
      </c>
      <c r="H194" t="s">
        <v>26</v>
      </c>
      <c r="I194" t="s">
        <v>18</v>
      </c>
      <c r="J194">
        <v>44</v>
      </c>
      <c r="K194">
        <v>44795</v>
      </c>
      <c r="L194">
        <v>2024</v>
      </c>
    </row>
    <row r="195" spans="1:12" x14ac:dyDescent="0.35">
      <c r="A195">
        <v>194</v>
      </c>
      <c r="B195" s="1">
        <v>45487</v>
      </c>
      <c r="C195" t="s">
        <v>24</v>
      </c>
      <c r="D195" t="s">
        <v>25</v>
      </c>
      <c r="E195">
        <v>3.22</v>
      </c>
      <c r="F195">
        <v>8.39</v>
      </c>
      <c r="G195">
        <v>822916</v>
      </c>
      <c r="H195" t="s">
        <v>22</v>
      </c>
      <c r="I195" t="s">
        <v>18</v>
      </c>
      <c r="J195">
        <v>20</v>
      </c>
      <c r="K195">
        <v>166233</v>
      </c>
      <c r="L195">
        <v>2024</v>
      </c>
    </row>
    <row r="196" spans="1:12" x14ac:dyDescent="0.35">
      <c r="A196">
        <v>195</v>
      </c>
      <c r="B196" s="1">
        <v>44812</v>
      </c>
      <c r="C196" t="s">
        <v>24</v>
      </c>
      <c r="D196" t="s">
        <v>25</v>
      </c>
      <c r="E196">
        <v>2.71</v>
      </c>
      <c r="F196">
        <v>2.93</v>
      </c>
      <c r="G196">
        <v>515904</v>
      </c>
      <c r="H196" t="s">
        <v>22</v>
      </c>
      <c r="I196" t="s">
        <v>15</v>
      </c>
      <c r="J196">
        <v>5</v>
      </c>
      <c r="K196">
        <v>220593</v>
      </c>
      <c r="L196">
        <v>2022</v>
      </c>
    </row>
    <row r="197" spans="1:12" x14ac:dyDescent="0.35">
      <c r="A197">
        <v>196</v>
      </c>
      <c r="B197" s="1">
        <v>44641</v>
      </c>
      <c r="C197" t="s">
        <v>24</v>
      </c>
      <c r="D197" t="s">
        <v>19</v>
      </c>
      <c r="E197">
        <v>2.98</v>
      </c>
      <c r="F197">
        <v>1.81</v>
      </c>
      <c r="G197">
        <v>165568</v>
      </c>
      <c r="H197" t="s">
        <v>26</v>
      </c>
      <c r="I197" t="s">
        <v>15</v>
      </c>
      <c r="J197">
        <v>33</v>
      </c>
      <c r="K197">
        <v>226289</v>
      </c>
      <c r="L197">
        <v>2022</v>
      </c>
    </row>
    <row r="198" spans="1:12" x14ac:dyDescent="0.35">
      <c r="A198">
        <v>197</v>
      </c>
      <c r="B198" s="1">
        <v>45574</v>
      </c>
      <c r="C198" t="s">
        <v>30</v>
      </c>
      <c r="D198" t="s">
        <v>19</v>
      </c>
      <c r="E198">
        <v>3.26</v>
      </c>
      <c r="F198">
        <v>3.77</v>
      </c>
      <c r="G198">
        <v>929774</v>
      </c>
      <c r="H198" t="s">
        <v>26</v>
      </c>
      <c r="I198" t="s">
        <v>15</v>
      </c>
      <c r="J198">
        <v>35</v>
      </c>
      <c r="K198">
        <v>294668</v>
      </c>
      <c r="L198">
        <v>2024</v>
      </c>
    </row>
    <row r="199" spans="1:12" x14ac:dyDescent="0.35">
      <c r="A199">
        <v>198</v>
      </c>
      <c r="B199" s="1">
        <v>43988</v>
      </c>
      <c r="C199" t="s">
        <v>28</v>
      </c>
      <c r="D199" t="s">
        <v>13</v>
      </c>
      <c r="E199">
        <v>2.41</v>
      </c>
      <c r="F199">
        <v>7.87</v>
      </c>
      <c r="G199">
        <v>973477</v>
      </c>
      <c r="H199" t="s">
        <v>21</v>
      </c>
      <c r="I199" t="s">
        <v>18</v>
      </c>
      <c r="J199">
        <v>5</v>
      </c>
      <c r="K199">
        <v>172040</v>
      </c>
      <c r="L199">
        <v>2020</v>
      </c>
    </row>
    <row r="200" spans="1:12" x14ac:dyDescent="0.35">
      <c r="A200">
        <v>199</v>
      </c>
      <c r="B200" s="1">
        <v>44816</v>
      </c>
      <c r="C200" t="s">
        <v>30</v>
      </c>
      <c r="D200" t="s">
        <v>23</v>
      </c>
      <c r="E200">
        <v>0.81</v>
      </c>
      <c r="F200">
        <v>9.09</v>
      </c>
      <c r="G200">
        <v>101029</v>
      </c>
      <c r="H200" t="s">
        <v>26</v>
      </c>
      <c r="I200" t="s">
        <v>18</v>
      </c>
      <c r="J200">
        <v>13</v>
      </c>
      <c r="K200">
        <v>207137</v>
      </c>
      <c r="L200">
        <v>2022</v>
      </c>
    </row>
    <row r="201" spans="1:12" x14ac:dyDescent="0.35">
      <c r="A201">
        <v>200</v>
      </c>
      <c r="B201" s="1">
        <v>45123</v>
      </c>
      <c r="C201" t="s">
        <v>28</v>
      </c>
      <c r="D201" t="s">
        <v>19</v>
      </c>
      <c r="E201">
        <v>3.65</v>
      </c>
      <c r="F201">
        <v>5.65</v>
      </c>
      <c r="G201">
        <v>628767</v>
      </c>
      <c r="H201" t="s">
        <v>26</v>
      </c>
      <c r="I201" t="s">
        <v>15</v>
      </c>
      <c r="J201">
        <v>14</v>
      </c>
      <c r="K201">
        <v>240639</v>
      </c>
      <c r="L201">
        <v>2023</v>
      </c>
    </row>
    <row r="202" spans="1:12" x14ac:dyDescent="0.35">
      <c r="A202">
        <v>201</v>
      </c>
      <c r="B202" s="1">
        <v>44866</v>
      </c>
      <c r="C202" t="s">
        <v>12</v>
      </c>
      <c r="D202" t="s">
        <v>29</v>
      </c>
      <c r="E202">
        <v>2.91</v>
      </c>
      <c r="F202">
        <v>6.22</v>
      </c>
      <c r="G202">
        <v>235588</v>
      </c>
      <c r="H202" t="s">
        <v>21</v>
      </c>
      <c r="I202" t="s">
        <v>18</v>
      </c>
      <c r="J202">
        <v>16</v>
      </c>
      <c r="K202">
        <v>233615</v>
      </c>
      <c r="L202">
        <v>2022</v>
      </c>
    </row>
    <row r="203" spans="1:12" x14ac:dyDescent="0.35">
      <c r="A203">
        <v>202</v>
      </c>
      <c r="B203" s="1">
        <v>45584</v>
      </c>
      <c r="C203" t="s">
        <v>24</v>
      </c>
      <c r="D203" t="s">
        <v>25</v>
      </c>
      <c r="E203">
        <v>5</v>
      </c>
      <c r="F203">
        <v>5.05</v>
      </c>
      <c r="G203">
        <v>88195</v>
      </c>
      <c r="H203" t="s">
        <v>17</v>
      </c>
      <c r="I203" t="s">
        <v>15</v>
      </c>
      <c r="J203">
        <v>30</v>
      </c>
      <c r="K203">
        <v>102163</v>
      </c>
      <c r="L203">
        <v>2024</v>
      </c>
    </row>
    <row r="204" spans="1:12" x14ac:dyDescent="0.35">
      <c r="A204">
        <v>203</v>
      </c>
      <c r="B204" s="1">
        <v>43955</v>
      </c>
      <c r="C204" t="s">
        <v>12</v>
      </c>
      <c r="D204" t="s">
        <v>13</v>
      </c>
      <c r="E204">
        <v>1.82</v>
      </c>
      <c r="F204">
        <v>0.12</v>
      </c>
      <c r="G204">
        <v>374680</v>
      </c>
      <c r="H204" t="s">
        <v>26</v>
      </c>
      <c r="I204" t="s">
        <v>15</v>
      </c>
      <c r="J204">
        <v>4</v>
      </c>
      <c r="K204">
        <v>50787</v>
      </c>
      <c r="L204">
        <v>2020</v>
      </c>
    </row>
    <row r="205" spans="1:12" x14ac:dyDescent="0.35">
      <c r="A205">
        <v>204</v>
      </c>
      <c r="B205" s="1">
        <v>44766</v>
      </c>
      <c r="C205" t="s">
        <v>12</v>
      </c>
      <c r="D205" t="s">
        <v>23</v>
      </c>
      <c r="E205">
        <v>3.03</v>
      </c>
      <c r="F205">
        <v>7.94</v>
      </c>
      <c r="G205">
        <v>792359</v>
      </c>
      <c r="H205" t="s">
        <v>17</v>
      </c>
      <c r="I205" t="s">
        <v>15</v>
      </c>
      <c r="J205">
        <v>7</v>
      </c>
      <c r="K205">
        <v>291945</v>
      </c>
      <c r="L205">
        <v>2022</v>
      </c>
    </row>
    <row r="206" spans="1:12" x14ac:dyDescent="0.35">
      <c r="A206">
        <v>205</v>
      </c>
      <c r="B206" s="1">
        <v>45363</v>
      </c>
      <c r="C206" t="s">
        <v>27</v>
      </c>
      <c r="D206" t="s">
        <v>13</v>
      </c>
      <c r="E206">
        <v>2.4500000000000002</v>
      </c>
      <c r="F206">
        <v>2.68</v>
      </c>
      <c r="G206">
        <v>423272</v>
      </c>
      <c r="H206" t="s">
        <v>21</v>
      </c>
      <c r="I206" t="s">
        <v>18</v>
      </c>
      <c r="J206">
        <v>22</v>
      </c>
      <c r="K206">
        <v>91748</v>
      </c>
      <c r="L206">
        <v>2024</v>
      </c>
    </row>
    <row r="207" spans="1:12" x14ac:dyDescent="0.35">
      <c r="A207">
        <v>206</v>
      </c>
      <c r="B207" s="1">
        <v>44424</v>
      </c>
      <c r="C207" t="s">
        <v>16</v>
      </c>
      <c r="D207" t="s">
        <v>23</v>
      </c>
      <c r="E207">
        <v>0.57999999999999996</v>
      </c>
      <c r="F207">
        <v>2.06</v>
      </c>
      <c r="G207">
        <v>202946</v>
      </c>
      <c r="H207" t="s">
        <v>22</v>
      </c>
      <c r="I207" t="s">
        <v>18</v>
      </c>
      <c r="J207">
        <v>11</v>
      </c>
      <c r="K207">
        <v>98574</v>
      </c>
      <c r="L207">
        <v>2021</v>
      </c>
    </row>
    <row r="208" spans="1:12" x14ac:dyDescent="0.35">
      <c r="A208">
        <v>207</v>
      </c>
      <c r="B208" s="1">
        <v>45378</v>
      </c>
      <c r="C208" t="s">
        <v>16</v>
      </c>
      <c r="D208" t="s">
        <v>29</v>
      </c>
      <c r="E208">
        <v>4.58</v>
      </c>
      <c r="F208">
        <v>7.22</v>
      </c>
      <c r="G208">
        <v>846306</v>
      </c>
      <c r="H208" t="s">
        <v>14</v>
      </c>
      <c r="I208" t="s">
        <v>18</v>
      </c>
      <c r="J208">
        <v>38</v>
      </c>
      <c r="K208">
        <v>112508</v>
      </c>
      <c r="L208">
        <v>2024</v>
      </c>
    </row>
    <row r="209" spans="1:12" x14ac:dyDescent="0.35">
      <c r="A209">
        <v>208</v>
      </c>
      <c r="B209" s="1">
        <v>43873</v>
      </c>
      <c r="C209" t="s">
        <v>27</v>
      </c>
      <c r="D209" t="s">
        <v>25</v>
      </c>
      <c r="E209">
        <v>3.68</v>
      </c>
      <c r="F209">
        <v>9.4600000000000009</v>
      </c>
      <c r="G209">
        <v>967597</v>
      </c>
      <c r="H209" t="s">
        <v>14</v>
      </c>
      <c r="I209" t="s">
        <v>15</v>
      </c>
      <c r="J209">
        <v>1</v>
      </c>
      <c r="K209">
        <v>179400</v>
      </c>
      <c r="L209">
        <v>2020</v>
      </c>
    </row>
    <row r="210" spans="1:12" x14ac:dyDescent="0.35">
      <c r="A210">
        <v>209</v>
      </c>
      <c r="B210" s="1">
        <v>45098</v>
      </c>
      <c r="C210" t="s">
        <v>24</v>
      </c>
      <c r="D210" t="s">
        <v>19</v>
      </c>
      <c r="E210">
        <v>2.94</v>
      </c>
      <c r="F210">
        <v>2.2000000000000002</v>
      </c>
      <c r="G210">
        <v>291338</v>
      </c>
      <c r="H210" t="s">
        <v>26</v>
      </c>
      <c r="I210" t="s">
        <v>15</v>
      </c>
      <c r="J210">
        <v>15</v>
      </c>
      <c r="K210">
        <v>76643</v>
      </c>
      <c r="L210">
        <v>2023</v>
      </c>
    </row>
    <row r="211" spans="1:12" x14ac:dyDescent="0.35">
      <c r="A211">
        <v>210</v>
      </c>
      <c r="B211" s="1">
        <v>44604</v>
      </c>
      <c r="C211" t="s">
        <v>28</v>
      </c>
      <c r="D211" t="s">
        <v>23</v>
      </c>
      <c r="E211">
        <v>0.88</v>
      </c>
      <c r="F211">
        <v>5.18</v>
      </c>
      <c r="G211">
        <v>702610</v>
      </c>
      <c r="H211" t="s">
        <v>14</v>
      </c>
      <c r="I211" t="s">
        <v>18</v>
      </c>
      <c r="J211">
        <v>37</v>
      </c>
      <c r="K211">
        <v>81141</v>
      </c>
      <c r="L211">
        <v>2022</v>
      </c>
    </row>
    <row r="212" spans="1:12" x14ac:dyDescent="0.35">
      <c r="A212">
        <v>211</v>
      </c>
      <c r="B212" s="1">
        <v>45186</v>
      </c>
      <c r="C212" t="s">
        <v>12</v>
      </c>
      <c r="D212" t="s">
        <v>13</v>
      </c>
      <c r="E212">
        <v>3.93</v>
      </c>
      <c r="F212">
        <v>9.4600000000000009</v>
      </c>
      <c r="G212">
        <v>867209</v>
      </c>
      <c r="H212" t="s">
        <v>26</v>
      </c>
      <c r="I212" t="s">
        <v>15</v>
      </c>
      <c r="J212">
        <v>8</v>
      </c>
      <c r="K212">
        <v>233434</v>
      </c>
      <c r="L212">
        <v>2023</v>
      </c>
    </row>
    <row r="213" spans="1:12" x14ac:dyDescent="0.35">
      <c r="A213">
        <v>212</v>
      </c>
      <c r="B213" s="1">
        <v>44181</v>
      </c>
      <c r="C213" t="s">
        <v>24</v>
      </c>
      <c r="D213" t="s">
        <v>23</v>
      </c>
      <c r="E213">
        <v>3.42</v>
      </c>
      <c r="F213">
        <v>8.25</v>
      </c>
      <c r="G213">
        <v>239808</v>
      </c>
      <c r="H213" t="s">
        <v>26</v>
      </c>
      <c r="I213" t="s">
        <v>15</v>
      </c>
      <c r="J213">
        <v>25</v>
      </c>
      <c r="K213">
        <v>199794</v>
      </c>
      <c r="L213">
        <v>2020</v>
      </c>
    </row>
    <row r="214" spans="1:12" x14ac:dyDescent="0.35">
      <c r="A214">
        <v>213</v>
      </c>
      <c r="B214" s="1">
        <v>43858</v>
      </c>
      <c r="C214" t="s">
        <v>24</v>
      </c>
      <c r="D214" t="s">
        <v>23</v>
      </c>
      <c r="E214">
        <v>2.96</v>
      </c>
      <c r="F214">
        <v>8.8699999999999992</v>
      </c>
      <c r="G214">
        <v>359651</v>
      </c>
      <c r="H214" t="s">
        <v>21</v>
      </c>
      <c r="I214" t="s">
        <v>18</v>
      </c>
      <c r="J214">
        <v>50</v>
      </c>
      <c r="K214">
        <v>245794</v>
      </c>
      <c r="L214">
        <v>2020</v>
      </c>
    </row>
    <row r="215" spans="1:12" x14ac:dyDescent="0.35">
      <c r="A215">
        <v>214</v>
      </c>
      <c r="B215" s="1">
        <v>44350</v>
      </c>
      <c r="C215" t="s">
        <v>30</v>
      </c>
      <c r="D215" t="s">
        <v>19</v>
      </c>
      <c r="E215">
        <v>2.76</v>
      </c>
      <c r="F215">
        <v>5.73</v>
      </c>
      <c r="G215">
        <v>570758</v>
      </c>
      <c r="H215" t="s">
        <v>26</v>
      </c>
      <c r="I215" t="s">
        <v>18</v>
      </c>
      <c r="J215">
        <v>40</v>
      </c>
      <c r="K215">
        <v>119800</v>
      </c>
      <c r="L215">
        <v>2021</v>
      </c>
    </row>
    <row r="216" spans="1:12" x14ac:dyDescent="0.35">
      <c r="A216">
        <v>215</v>
      </c>
      <c r="B216" s="1">
        <v>45247</v>
      </c>
      <c r="C216" t="s">
        <v>24</v>
      </c>
      <c r="D216" t="s">
        <v>13</v>
      </c>
      <c r="E216">
        <v>0.49</v>
      </c>
      <c r="F216">
        <v>6.78</v>
      </c>
      <c r="G216">
        <v>426269</v>
      </c>
      <c r="H216" t="s">
        <v>26</v>
      </c>
      <c r="I216" t="s">
        <v>18</v>
      </c>
      <c r="J216">
        <v>30</v>
      </c>
      <c r="K216">
        <v>103463</v>
      </c>
      <c r="L216">
        <v>2023</v>
      </c>
    </row>
    <row r="217" spans="1:12" x14ac:dyDescent="0.35">
      <c r="A217">
        <v>216</v>
      </c>
      <c r="B217" s="1">
        <v>45492</v>
      </c>
      <c r="C217" t="s">
        <v>27</v>
      </c>
      <c r="D217" t="s">
        <v>29</v>
      </c>
      <c r="E217">
        <v>1.8</v>
      </c>
      <c r="F217">
        <v>0.34</v>
      </c>
      <c r="G217">
        <v>394187</v>
      </c>
      <c r="H217" t="s">
        <v>14</v>
      </c>
      <c r="I217" t="s">
        <v>15</v>
      </c>
      <c r="J217">
        <v>41</v>
      </c>
      <c r="K217">
        <v>288453</v>
      </c>
      <c r="L217">
        <v>2024</v>
      </c>
    </row>
    <row r="218" spans="1:12" x14ac:dyDescent="0.35">
      <c r="A218">
        <v>217</v>
      </c>
      <c r="B218" s="1">
        <v>44999</v>
      </c>
      <c r="C218" t="s">
        <v>24</v>
      </c>
      <c r="D218" t="s">
        <v>23</v>
      </c>
      <c r="E218">
        <v>1.25</v>
      </c>
      <c r="F218">
        <v>2.41</v>
      </c>
      <c r="G218">
        <v>495460</v>
      </c>
      <c r="H218" t="s">
        <v>22</v>
      </c>
      <c r="I218" t="s">
        <v>15</v>
      </c>
      <c r="J218">
        <v>26</v>
      </c>
      <c r="K218">
        <v>185589</v>
      </c>
      <c r="L218">
        <v>2023</v>
      </c>
    </row>
    <row r="219" spans="1:12" x14ac:dyDescent="0.35">
      <c r="A219">
        <v>218</v>
      </c>
      <c r="B219" s="1">
        <v>44372</v>
      </c>
      <c r="C219" t="s">
        <v>24</v>
      </c>
      <c r="D219" t="s">
        <v>23</v>
      </c>
      <c r="E219">
        <v>1.51</v>
      </c>
      <c r="F219">
        <v>2.87</v>
      </c>
      <c r="G219">
        <v>715940</v>
      </c>
      <c r="H219" t="s">
        <v>14</v>
      </c>
      <c r="I219" t="s">
        <v>18</v>
      </c>
      <c r="J219">
        <v>37</v>
      </c>
      <c r="K219">
        <v>180765</v>
      </c>
      <c r="L219">
        <v>2021</v>
      </c>
    </row>
    <row r="220" spans="1:12" x14ac:dyDescent="0.35">
      <c r="A220">
        <v>219</v>
      </c>
      <c r="B220" s="1">
        <v>43878</v>
      </c>
      <c r="C220" t="s">
        <v>12</v>
      </c>
      <c r="D220" t="s">
        <v>23</v>
      </c>
      <c r="E220">
        <v>0.21</v>
      </c>
      <c r="F220">
        <v>8.9600000000000009</v>
      </c>
      <c r="G220">
        <v>359131</v>
      </c>
      <c r="H220" t="s">
        <v>26</v>
      </c>
      <c r="I220" t="s">
        <v>15</v>
      </c>
      <c r="J220">
        <v>19</v>
      </c>
      <c r="K220">
        <v>156697</v>
      </c>
      <c r="L220">
        <v>2020</v>
      </c>
    </row>
    <row r="221" spans="1:12" x14ac:dyDescent="0.35">
      <c r="A221">
        <v>220</v>
      </c>
      <c r="B221" s="1">
        <v>44533</v>
      </c>
      <c r="C221" t="s">
        <v>16</v>
      </c>
      <c r="D221" t="s">
        <v>25</v>
      </c>
      <c r="E221">
        <v>4</v>
      </c>
      <c r="F221">
        <v>3.07</v>
      </c>
      <c r="G221">
        <v>554638</v>
      </c>
      <c r="H221" t="s">
        <v>21</v>
      </c>
      <c r="I221" t="s">
        <v>18</v>
      </c>
      <c r="J221">
        <v>1</v>
      </c>
      <c r="K221">
        <v>87954</v>
      </c>
      <c r="L221">
        <v>2021</v>
      </c>
    </row>
    <row r="222" spans="1:12" x14ac:dyDescent="0.35">
      <c r="A222">
        <v>221</v>
      </c>
      <c r="B222" s="1">
        <v>45026</v>
      </c>
      <c r="C222" t="s">
        <v>30</v>
      </c>
      <c r="D222" t="s">
        <v>23</v>
      </c>
      <c r="E222">
        <v>4.1500000000000004</v>
      </c>
      <c r="F222">
        <v>4.42</v>
      </c>
      <c r="G222">
        <v>501104</v>
      </c>
      <c r="H222" t="s">
        <v>17</v>
      </c>
      <c r="I222" t="s">
        <v>18</v>
      </c>
      <c r="J222">
        <v>21</v>
      </c>
      <c r="K222">
        <v>17271</v>
      </c>
      <c r="L222">
        <v>2023</v>
      </c>
    </row>
    <row r="223" spans="1:12" x14ac:dyDescent="0.35">
      <c r="A223">
        <v>222</v>
      </c>
      <c r="B223" s="1">
        <v>45129</v>
      </c>
      <c r="C223" t="s">
        <v>27</v>
      </c>
      <c r="D223" t="s">
        <v>25</v>
      </c>
      <c r="E223">
        <v>3.02</v>
      </c>
      <c r="F223">
        <v>2.46</v>
      </c>
      <c r="G223">
        <v>255990</v>
      </c>
      <c r="H223" t="s">
        <v>22</v>
      </c>
      <c r="I223" t="s">
        <v>18</v>
      </c>
      <c r="J223">
        <v>5</v>
      </c>
      <c r="K223">
        <v>246970</v>
      </c>
      <c r="L223">
        <v>2023</v>
      </c>
    </row>
    <row r="224" spans="1:12" x14ac:dyDescent="0.35">
      <c r="A224">
        <v>223</v>
      </c>
      <c r="B224" s="1">
        <v>44437</v>
      </c>
      <c r="C224" t="s">
        <v>20</v>
      </c>
      <c r="D224" t="s">
        <v>29</v>
      </c>
      <c r="E224">
        <v>3.72</v>
      </c>
      <c r="F224">
        <v>1.1399999999999999</v>
      </c>
      <c r="G224">
        <v>326311</v>
      </c>
      <c r="H224" t="s">
        <v>14</v>
      </c>
      <c r="I224" t="s">
        <v>18</v>
      </c>
      <c r="J224">
        <v>37</v>
      </c>
      <c r="K224">
        <v>86762</v>
      </c>
      <c r="L224">
        <v>2021</v>
      </c>
    </row>
    <row r="225" spans="1:12" x14ac:dyDescent="0.35">
      <c r="A225">
        <v>224</v>
      </c>
      <c r="B225" s="1">
        <v>45116</v>
      </c>
      <c r="C225" t="s">
        <v>24</v>
      </c>
      <c r="D225" t="s">
        <v>13</v>
      </c>
      <c r="E225">
        <v>4.25</v>
      </c>
      <c r="F225">
        <v>4.53</v>
      </c>
      <c r="G225">
        <v>69830</v>
      </c>
      <c r="H225" t="s">
        <v>26</v>
      </c>
      <c r="I225" t="s">
        <v>18</v>
      </c>
      <c r="J225">
        <v>10</v>
      </c>
      <c r="K225">
        <v>119840</v>
      </c>
      <c r="L225">
        <v>2023</v>
      </c>
    </row>
    <row r="226" spans="1:12" x14ac:dyDescent="0.35">
      <c r="A226">
        <v>225</v>
      </c>
      <c r="B226" s="1">
        <v>44974</v>
      </c>
      <c r="C226" t="s">
        <v>16</v>
      </c>
      <c r="D226" t="s">
        <v>23</v>
      </c>
      <c r="E226">
        <v>2.5</v>
      </c>
      <c r="F226">
        <v>3.29</v>
      </c>
      <c r="G226">
        <v>538071</v>
      </c>
      <c r="H226" t="s">
        <v>21</v>
      </c>
      <c r="I226" t="s">
        <v>15</v>
      </c>
      <c r="J226">
        <v>6</v>
      </c>
      <c r="K226">
        <v>37288</v>
      </c>
      <c r="L226">
        <v>2023</v>
      </c>
    </row>
    <row r="227" spans="1:12" x14ac:dyDescent="0.35">
      <c r="A227">
        <v>226</v>
      </c>
      <c r="B227" s="1">
        <v>45331</v>
      </c>
      <c r="C227" t="s">
        <v>16</v>
      </c>
      <c r="D227" t="s">
        <v>29</v>
      </c>
      <c r="E227">
        <v>3.66</v>
      </c>
      <c r="F227">
        <v>2.2599999999999998</v>
      </c>
      <c r="G227">
        <v>465229</v>
      </c>
      <c r="H227" t="s">
        <v>14</v>
      </c>
      <c r="I227" t="s">
        <v>15</v>
      </c>
      <c r="J227">
        <v>42</v>
      </c>
      <c r="K227">
        <v>197077</v>
      </c>
      <c r="L227">
        <v>2024</v>
      </c>
    </row>
    <row r="228" spans="1:12" x14ac:dyDescent="0.35">
      <c r="A228">
        <v>227</v>
      </c>
      <c r="B228" s="1">
        <v>43923</v>
      </c>
      <c r="C228" t="s">
        <v>30</v>
      </c>
      <c r="D228" t="s">
        <v>19</v>
      </c>
      <c r="E228">
        <v>4.7</v>
      </c>
      <c r="F228">
        <v>6.69</v>
      </c>
      <c r="G228">
        <v>812694</v>
      </c>
      <c r="H228" t="s">
        <v>22</v>
      </c>
      <c r="I228" t="s">
        <v>18</v>
      </c>
      <c r="J228">
        <v>38</v>
      </c>
      <c r="K228">
        <v>269310</v>
      </c>
      <c r="L228">
        <v>2020</v>
      </c>
    </row>
    <row r="229" spans="1:12" x14ac:dyDescent="0.35">
      <c r="A229">
        <v>228</v>
      </c>
      <c r="B229" s="1">
        <v>44915</v>
      </c>
      <c r="C229" t="s">
        <v>28</v>
      </c>
      <c r="D229" t="s">
        <v>23</v>
      </c>
      <c r="E229">
        <v>0.28999999999999998</v>
      </c>
      <c r="F229">
        <v>6.09</v>
      </c>
      <c r="G229">
        <v>807460</v>
      </c>
      <c r="H229" t="s">
        <v>14</v>
      </c>
      <c r="I229" t="s">
        <v>15</v>
      </c>
      <c r="J229">
        <v>36</v>
      </c>
      <c r="K229">
        <v>67759</v>
      </c>
      <c r="L229">
        <v>2022</v>
      </c>
    </row>
    <row r="230" spans="1:12" x14ac:dyDescent="0.35">
      <c r="A230">
        <v>229</v>
      </c>
      <c r="B230" s="1">
        <v>44637</v>
      </c>
      <c r="C230" t="s">
        <v>24</v>
      </c>
      <c r="D230" t="s">
        <v>29</v>
      </c>
      <c r="E230">
        <v>0.26</v>
      </c>
      <c r="F230">
        <v>1.02</v>
      </c>
      <c r="G230">
        <v>707959</v>
      </c>
      <c r="H230" t="s">
        <v>21</v>
      </c>
      <c r="I230" t="s">
        <v>18</v>
      </c>
      <c r="J230">
        <v>17</v>
      </c>
      <c r="K230">
        <v>96064</v>
      </c>
      <c r="L230">
        <v>2022</v>
      </c>
    </row>
    <row r="231" spans="1:12" x14ac:dyDescent="0.35">
      <c r="A231">
        <v>230</v>
      </c>
      <c r="B231" s="1">
        <v>45188</v>
      </c>
      <c r="C231" t="s">
        <v>27</v>
      </c>
      <c r="D231" t="s">
        <v>25</v>
      </c>
      <c r="E231">
        <v>2.2599999999999998</v>
      </c>
      <c r="F231">
        <v>8.7799999999999994</v>
      </c>
      <c r="G231">
        <v>957028</v>
      </c>
      <c r="H231" t="s">
        <v>21</v>
      </c>
      <c r="I231" t="s">
        <v>18</v>
      </c>
      <c r="J231">
        <v>45</v>
      </c>
      <c r="K231">
        <v>283547</v>
      </c>
      <c r="L231">
        <v>2023</v>
      </c>
    </row>
    <row r="232" spans="1:12" x14ac:dyDescent="0.35">
      <c r="A232">
        <v>231</v>
      </c>
      <c r="B232" s="1">
        <v>45113</v>
      </c>
      <c r="C232" t="s">
        <v>16</v>
      </c>
      <c r="D232" t="s">
        <v>19</v>
      </c>
      <c r="E232">
        <v>4.51</v>
      </c>
      <c r="F232">
        <v>7.66</v>
      </c>
      <c r="G232">
        <v>945238</v>
      </c>
      <c r="H232" t="s">
        <v>21</v>
      </c>
      <c r="I232" t="s">
        <v>15</v>
      </c>
      <c r="J232">
        <v>8</v>
      </c>
      <c r="K232">
        <v>116633</v>
      </c>
      <c r="L232">
        <v>2023</v>
      </c>
    </row>
    <row r="233" spans="1:12" x14ac:dyDescent="0.35">
      <c r="A233">
        <v>232</v>
      </c>
      <c r="B233" s="1">
        <v>45039</v>
      </c>
      <c r="C233" t="s">
        <v>16</v>
      </c>
      <c r="D233" t="s">
        <v>29</v>
      </c>
      <c r="E233">
        <v>4.72</v>
      </c>
      <c r="F233">
        <v>4.32</v>
      </c>
      <c r="G233">
        <v>989934</v>
      </c>
      <c r="H233" t="s">
        <v>26</v>
      </c>
      <c r="I233" t="s">
        <v>18</v>
      </c>
      <c r="J233">
        <v>17</v>
      </c>
      <c r="K233">
        <v>168787</v>
      </c>
      <c r="L233">
        <v>2023</v>
      </c>
    </row>
    <row r="234" spans="1:12" x14ac:dyDescent="0.35">
      <c r="A234">
        <v>233</v>
      </c>
      <c r="B234" s="1">
        <v>44201</v>
      </c>
      <c r="C234" t="s">
        <v>12</v>
      </c>
      <c r="D234" t="s">
        <v>23</v>
      </c>
      <c r="E234">
        <v>2.85</v>
      </c>
      <c r="F234">
        <v>9.51</v>
      </c>
      <c r="G234">
        <v>997262</v>
      </c>
      <c r="H234" t="s">
        <v>22</v>
      </c>
      <c r="I234" t="s">
        <v>18</v>
      </c>
      <c r="J234">
        <v>25</v>
      </c>
      <c r="K234">
        <v>35777</v>
      </c>
      <c r="L234">
        <v>2021</v>
      </c>
    </row>
    <row r="235" spans="1:12" x14ac:dyDescent="0.35">
      <c r="A235">
        <v>234</v>
      </c>
      <c r="B235" s="1">
        <v>45222</v>
      </c>
      <c r="C235" t="s">
        <v>20</v>
      </c>
      <c r="D235" t="s">
        <v>29</v>
      </c>
      <c r="E235">
        <v>1.3</v>
      </c>
      <c r="F235">
        <v>3.08</v>
      </c>
      <c r="G235">
        <v>988916</v>
      </c>
      <c r="H235" t="s">
        <v>21</v>
      </c>
      <c r="I235" t="s">
        <v>18</v>
      </c>
      <c r="J235">
        <v>37</v>
      </c>
      <c r="K235">
        <v>208563</v>
      </c>
      <c r="L235">
        <v>2023</v>
      </c>
    </row>
    <row r="236" spans="1:12" x14ac:dyDescent="0.35">
      <c r="A236">
        <v>235</v>
      </c>
      <c r="B236" s="1">
        <v>45549</v>
      </c>
      <c r="C236" t="s">
        <v>27</v>
      </c>
      <c r="D236" t="s">
        <v>29</v>
      </c>
      <c r="E236">
        <v>1.26</v>
      </c>
      <c r="F236">
        <v>2.2000000000000002</v>
      </c>
      <c r="G236">
        <v>479317</v>
      </c>
      <c r="H236" t="s">
        <v>17</v>
      </c>
      <c r="I236" t="s">
        <v>18</v>
      </c>
      <c r="J236">
        <v>6</v>
      </c>
      <c r="K236">
        <v>25271</v>
      </c>
      <c r="L236">
        <v>2024</v>
      </c>
    </row>
    <row r="237" spans="1:12" x14ac:dyDescent="0.35">
      <c r="A237">
        <v>236</v>
      </c>
      <c r="B237" s="1">
        <v>44350</v>
      </c>
      <c r="C237" t="s">
        <v>16</v>
      </c>
      <c r="D237" t="s">
        <v>13</v>
      </c>
      <c r="E237">
        <v>0.99</v>
      </c>
      <c r="F237">
        <v>8.08</v>
      </c>
      <c r="G237">
        <v>756685</v>
      </c>
      <c r="H237" t="s">
        <v>26</v>
      </c>
      <c r="I237" t="s">
        <v>18</v>
      </c>
      <c r="J237">
        <v>49</v>
      </c>
      <c r="K237">
        <v>118433</v>
      </c>
      <c r="L237">
        <v>2021</v>
      </c>
    </row>
    <row r="238" spans="1:12" x14ac:dyDescent="0.35">
      <c r="A238">
        <v>237</v>
      </c>
      <c r="B238" s="1">
        <v>44923</v>
      </c>
      <c r="C238" t="s">
        <v>12</v>
      </c>
      <c r="D238" t="s">
        <v>13</v>
      </c>
      <c r="E238">
        <v>1.08</v>
      </c>
      <c r="F238">
        <v>6.32</v>
      </c>
      <c r="G238">
        <v>301709</v>
      </c>
      <c r="H238" t="s">
        <v>17</v>
      </c>
      <c r="I238" t="s">
        <v>15</v>
      </c>
      <c r="J238">
        <v>28</v>
      </c>
      <c r="K238">
        <v>272228</v>
      </c>
      <c r="L238">
        <v>2022</v>
      </c>
    </row>
    <row r="239" spans="1:12" x14ac:dyDescent="0.35">
      <c r="A239">
        <v>238</v>
      </c>
      <c r="B239" s="1">
        <v>45310</v>
      </c>
      <c r="C239" t="s">
        <v>27</v>
      </c>
      <c r="D239" t="s">
        <v>25</v>
      </c>
      <c r="E239">
        <v>4.21</v>
      </c>
      <c r="F239">
        <v>4.05</v>
      </c>
      <c r="G239">
        <v>157454</v>
      </c>
      <c r="H239" t="s">
        <v>21</v>
      </c>
      <c r="I239" t="s">
        <v>15</v>
      </c>
      <c r="J239">
        <v>14</v>
      </c>
      <c r="K239">
        <v>280656</v>
      </c>
      <c r="L239">
        <v>2024</v>
      </c>
    </row>
    <row r="240" spans="1:12" x14ac:dyDescent="0.35">
      <c r="A240">
        <v>239</v>
      </c>
      <c r="B240" s="1">
        <v>45267</v>
      </c>
      <c r="C240" t="s">
        <v>12</v>
      </c>
      <c r="D240" t="s">
        <v>29</v>
      </c>
      <c r="E240">
        <v>4.8899999999999997</v>
      </c>
      <c r="F240">
        <v>0.91</v>
      </c>
      <c r="G240">
        <v>762074</v>
      </c>
      <c r="H240" t="s">
        <v>22</v>
      </c>
      <c r="I240" t="s">
        <v>15</v>
      </c>
      <c r="J240">
        <v>26</v>
      </c>
      <c r="K240">
        <v>192901</v>
      </c>
      <c r="L240">
        <v>2023</v>
      </c>
    </row>
    <row r="241" spans="1:12" x14ac:dyDescent="0.35">
      <c r="A241">
        <v>240</v>
      </c>
      <c r="B241" s="1">
        <v>45078</v>
      </c>
      <c r="C241" t="s">
        <v>16</v>
      </c>
      <c r="D241" t="s">
        <v>13</v>
      </c>
      <c r="E241">
        <v>4.47</v>
      </c>
      <c r="F241">
        <v>4.7</v>
      </c>
      <c r="G241">
        <v>641993</v>
      </c>
      <c r="H241" t="s">
        <v>14</v>
      </c>
      <c r="I241" t="s">
        <v>15</v>
      </c>
      <c r="J241">
        <v>24</v>
      </c>
      <c r="K241">
        <v>271812</v>
      </c>
      <c r="L241">
        <v>2023</v>
      </c>
    </row>
    <row r="242" spans="1:12" x14ac:dyDescent="0.35">
      <c r="A242">
        <v>241</v>
      </c>
      <c r="B242" s="1">
        <v>43977</v>
      </c>
      <c r="C242" t="s">
        <v>12</v>
      </c>
      <c r="D242" t="s">
        <v>19</v>
      </c>
      <c r="E242">
        <v>0.79</v>
      </c>
      <c r="F242">
        <v>7.09</v>
      </c>
      <c r="G242">
        <v>284398</v>
      </c>
      <c r="H242" t="s">
        <v>17</v>
      </c>
      <c r="I242" t="s">
        <v>15</v>
      </c>
      <c r="J242">
        <v>16</v>
      </c>
      <c r="K242">
        <v>127267</v>
      </c>
      <c r="L242">
        <v>2020</v>
      </c>
    </row>
    <row r="243" spans="1:12" x14ac:dyDescent="0.35">
      <c r="A243">
        <v>242</v>
      </c>
      <c r="B243" s="1">
        <v>45382</v>
      </c>
      <c r="C243" t="s">
        <v>20</v>
      </c>
      <c r="D243" t="s">
        <v>25</v>
      </c>
      <c r="E243">
        <v>3.54</v>
      </c>
      <c r="F243">
        <v>3.86</v>
      </c>
      <c r="G243">
        <v>329903</v>
      </c>
      <c r="H243" t="s">
        <v>26</v>
      </c>
      <c r="I243" t="s">
        <v>18</v>
      </c>
      <c r="J243">
        <v>43</v>
      </c>
      <c r="K243">
        <v>180491</v>
      </c>
      <c r="L243">
        <v>2024</v>
      </c>
    </row>
    <row r="244" spans="1:12" x14ac:dyDescent="0.35">
      <c r="A244">
        <v>243</v>
      </c>
      <c r="B244" s="1">
        <v>44058</v>
      </c>
      <c r="C244" t="s">
        <v>27</v>
      </c>
      <c r="D244" t="s">
        <v>23</v>
      </c>
      <c r="E244">
        <v>4.24</v>
      </c>
      <c r="F244">
        <v>3.49</v>
      </c>
      <c r="G244">
        <v>630187</v>
      </c>
      <c r="H244" t="s">
        <v>21</v>
      </c>
      <c r="I244" t="s">
        <v>18</v>
      </c>
      <c r="J244">
        <v>42</v>
      </c>
      <c r="K244">
        <v>48873</v>
      </c>
      <c r="L244">
        <v>2020</v>
      </c>
    </row>
    <row r="245" spans="1:12" x14ac:dyDescent="0.35">
      <c r="A245">
        <v>244</v>
      </c>
      <c r="B245" s="1">
        <v>44653</v>
      </c>
      <c r="C245" t="s">
        <v>12</v>
      </c>
      <c r="D245" t="s">
        <v>23</v>
      </c>
      <c r="E245">
        <v>3.65</v>
      </c>
      <c r="F245">
        <v>3.96</v>
      </c>
      <c r="G245">
        <v>630942</v>
      </c>
      <c r="H245" t="s">
        <v>21</v>
      </c>
      <c r="I245" t="s">
        <v>15</v>
      </c>
      <c r="J245">
        <v>44</v>
      </c>
      <c r="K245">
        <v>40535</v>
      </c>
      <c r="L245">
        <v>2022</v>
      </c>
    </row>
    <row r="246" spans="1:12" x14ac:dyDescent="0.35">
      <c r="A246">
        <v>245</v>
      </c>
      <c r="B246" s="1">
        <v>44862</v>
      </c>
      <c r="C246" t="s">
        <v>24</v>
      </c>
      <c r="D246" t="s">
        <v>13</v>
      </c>
      <c r="E246">
        <v>0.61</v>
      </c>
      <c r="F246">
        <v>7.98</v>
      </c>
      <c r="G246">
        <v>271812</v>
      </c>
      <c r="H246" t="s">
        <v>17</v>
      </c>
      <c r="I246" t="s">
        <v>15</v>
      </c>
      <c r="J246">
        <v>6</v>
      </c>
      <c r="K246">
        <v>212470</v>
      </c>
      <c r="L246">
        <v>2022</v>
      </c>
    </row>
    <row r="247" spans="1:12" x14ac:dyDescent="0.35">
      <c r="A247">
        <v>246</v>
      </c>
      <c r="B247" s="1">
        <v>45194</v>
      </c>
      <c r="C247" t="s">
        <v>12</v>
      </c>
      <c r="D247" t="s">
        <v>19</v>
      </c>
      <c r="E247">
        <v>0.65</v>
      </c>
      <c r="F247">
        <v>8.7799999999999994</v>
      </c>
      <c r="G247">
        <v>373201</v>
      </c>
      <c r="H247" t="s">
        <v>17</v>
      </c>
      <c r="I247" t="s">
        <v>18</v>
      </c>
      <c r="J247">
        <v>13</v>
      </c>
      <c r="K247">
        <v>237293</v>
      </c>
      <c r="L247">
        <v>2023</v>
      </c>
    </row>
    <row r="248" spans="1:12" x14ac:dyDescent="0.35">
      <c r="A248">
        <v>247</v>
      </c>
      <c r="B248" s="1">
        <v>43913</v>
      </c>
      <c r="C248" t="s">
        <v>12</v>
      </c>
      <c r="D248" t="s">
        <v>25</v>
      </c>
      <c r="E248">
        <v>2.5</v>
      </c>
      <c r="F248">
        <v>3.88</v>
      </c>
      <c r="G248">
        <v>705487</v>
      </c>
      <c r="H248" t="s">
        <v>17</v>
      </c>
      <c r="I248" t="s">
        <v>15</v>
      </c>
      <c r="J248">
        <v>45</v>
      </c>
      <c r="K248">
        <v>22566</v>
      </c>
      <c r="L248">
        <v>2020</v>
      </c>
    </row>
    <row r="249" spans="1:12" x14ac:dyDescent="0.35">
      <c r="A249">
        <v>248</v>
      </c>
      <c r="B249" s="1">
        <v>44167</v>
      </c>
      <c r="C249" t="s">
        <v>24</v>
      </c>
      <c r="D249" t="s">
        <v>23</v>
      </c>
      <c r="E249">
        <v>1.33</v>
      </c>
      <c r="F249">
        <v>8.81</v>
      </c>
      <c r="G249">
        <v>628698</v>
      </c>
      <c r="H249" t="s">
        <v>22</v>
      </c>
      <c r="I249" t="s">
        <v>15</v>
      </c>
      <c r="J249">
        <v>8</v>
      </c>
      <c r="K249">
        <v>143190</v>
      </c>
      <c r="L249">
        <v>2020</v>
      </c>
    </row>
    <row r="250" spans="1:12" x14ac:dyDescent="0.35">
      <c r="A250">
        <v>249</v>
      </c>
      <c r="B250" s="1">
        <v>44098</v>
      </c>
      <c r="C250" t="s">
        <v>24</v>
      </c>
      <c r="D250" t="s">
        <v>25</v>
      </c>
      <c r="E250">
        <v>3.83</v>
      </c>
      <c r="F250">
        <v>8.89</v>
      </c>
      <c r="G250">
        <v>386203</v>
      </c>
      <c r="H250" t="s">
        <v>14</v>
      </c>
      <c r="I250" t="s">
        <v>18</v>
      </c>
      <c r="J250">
        <v>35</v>
      </c>
      <c r="K250">
        <v>39973</v>
      </c>
      <c r="L250">
        <v>2020</v>
      </c>
    </row>
    <row r="251" spans="1:12" x14ac:dyDescent="0.35">
      <c r="A251">
        <v>250</v>
      </c>
      <c r="B251" s="1">
        <v>44247</v>
      </c>
      <c r="C251" t="s">
        <v>28</v>
      </c>
      <c r="D251" t="s">
        <v>19</v>
      </c>
      <c r="E251">
        <v>1.1000000000000001</v>
      </c>
      <c r="F251">
        <v>2.38</v>
      </c>
      <c r="G251">
        <v>323874</v>
      </c>
      <c r="H251" t="s">
        <v>26</v>
      </c>
      <c r="I251" t="s">
        <v>18</v>
      </c>
      <c r="J251">
        <v>41</v>
      </c>
      <c r="K251">
        <v>223408</v>
      </c>
      <c r="L251">
        <v>2021</v>
      </c>
    </row>
    <row r="252" spans="1:12" x14ac:dyDescent="0.35">
      <c r="A252">
        <v>251</v>
      </c>
      <c r="B252" s="1">
        <v>44064</v>
      </c>
      <c r="C252" t="s">
        <v>20</v>
      </c>
      <c r="D252" t="s">
        <v>25</v>
      </c>
      <c r="E252">
        <v>2.71</v>
      </c>
      <c r="F252">
        <v>0.8</v>
      </c>
      <c r="G252">
        <v>872740</v>
      </c>
      <c r="H252" t="s">
        <v>26</v>
      </c>
      <c r="I252" t="s">
        <v>15</v>
      </c>
      <c r="J252">
        <v>43</v>
      </c>
      <c r="K252">
        <v>281333</v>
      </c>
      <c r="L252">
        <v>2020</v>
      </c>
    </row>
    <row r="253" spans="1:12" x14ac:dyDescent="0.35">
      <c r="A253">
        <v>252</v>
      </c>
      <c r="B253" s="1">
        <v>43912</v>
      </c>
      <c r="C253" t="s">
        <v>24</v>
      </c>
      <c r="D253" t="s">
        <v>13</v>
      </c>
      <c r="E253">
        <v>3.64</v>
      </c>
      <c r="F253">
        <v>4.5999999999999996</v>
      </c>
      <c r="G253">
        <v>792604</v>
      </c>
      <c r="H253" t="s">
        <v>17</v>
      </c>
      <c r="I253" t="s">
        <v>15</v>
      </c>
      <c r="J253">
        <v>28</v>
      </c>
      <c r="K253">
        <v>123859</v>
      </c>
      <c r="L253">
        <v>2020</v>
      </c>
    </row>
    <row r="254" spans="1:12" x14ac:dyDescent="0.35">
      <c r="A254">
        <v>253</v>
      </c>
      <c r="B254" s="1">
        <v>44185</v>
      </c>
      <c r="C254" t="s">
        <v>16</v>
      </c>
      <c r="D254" t="s">
        <v>13</v>
      </c>
      <c r="E254">
        <v>1.1499999999999999</v>
      </c>
      <c r="F254">
        <v>8.51</v>
      </c>
      <c r="G254">
        <v>631498</v>
      </c>
      <c r="H254" t="s">
        <v>26</v>
      </c>
      <c r="I254" t="s">
        <v>15</v>
      </c>
      <c r="J254">
        <v>7</v>
      </c>
      <c r="K254">
        <v>203266</v>
      </c>
      <c r="L254">
        <v>2020</v>
      </c>
    </row>
    <row r="255" spans="1:12" x14ac:dyDescent="0.35">
      <c r="A255">
        <v>254</v>
      </c>
      <c r="B255" s="1">
        <v>44128</v>
      </c>
      <c r="C255" t="s">
        <v>16</v>
      </c>
      <c r="D255" t="s">
        <v>29</v>
      </c>
      <c r="E255">
        <v>2.09</v>
      </c>
      <c r="F255">
        <v>4.49</v>
      </c>
      <c r="G255">
        <v>331504</v>
      </c>
      <c r="H255" t="s">
        <v>17</v>
      </c>
      <c r="I255" t="s">
        <v>18</v>
      </c>
      <c r="J255">
        <v>21</v>
      </c>
      <c r="K255">
        <v>213390</v>
      </c>
      <c r="L255">
        <v>2020</v>
      </c>
    </row>
    <row r="256" spans="1:12" x14ac:dyDescent="0.35">
      <c r="A256">
        <v>255</v>
      </c>
      <c r="B256" s="1">
        <v>44562</v>
      </c>
      <c r="C256" t="s">
        <v>24</v>
      </c>
      <c r="D256" t="s">
        <v>25</v>
      </c>
      <c r="E256">
        <v>2.59</v>
      </c>
      <c r="F256">
        <v>8.9700000000000006</v>
      </c>
      <c r="G256">
        <v>269619</v>
      </c>
      <c r="H256" t="s">
        <v>21</v>
      </c>
      <c r="I256" t="s">
        <v>15</v>
      </c>
      <c r="J256">
        <v>12</v>
      </c>
      <c r="K256">
        <v>59874</v>
      </c>
      <c r="L256">
        <v>2022</v>
      </c>
    </row>
    <row r="257" spans="1:12" x14ac:dyDescent="0.35">
      <c r="A257">
        <v>256</v>
      </c>
      <c r="B257" s="1">
        <v>44321</v>
      </c>
      <c r="C257" t="s">
        <v>20</v>
      </c>
      <c r="D257" t="s">
        <v>13</v>
      </c>
      <c r="E257">
        <v>4.17</v>
      </c>
      <c r="F257">
        <v>8.83</v>
      </c>
      <c r="G257">
        <v>850371</v>
      </c>
      <c r="H257" t="s">
        <v>22</v>
      </c>
      <c r="I257" t="s">
        <v>15</v>
      </c>
      <c r="J257">
        <v>49</v>
      </c>
      <c r="K257">
        <v>208037</v>
      </c>
      <c r="L257">
        <v>2021</v>
      </c>
    </row>
    <row r="258" spans="1:12" x14ac:dyDescent="0.35">
      <c r="A258">
        <v>257</v>
      </c>
      <c r="B258" s="1">
        <v>44398</v>
      </c>
      <c r="C258" t="s">
        <v>24</v>
      </c>
      <c r="D258" t="s">
        <v>29</v>
      </c>
      <c r="E258">
        <v>2.2599999999999998</v>
      </c>
      <c r="F258">
        <v>6.04</v>
      </c>
      <c r="G258">
        <v>367365</v>
      </c>
      <c r="H258" t="s">
        <v>26</v>
      </c>
      <c r="I258" t="s">
        <v>18</v>
      </c>
      <c r="J258">
        <v>46</v>
      </c>
      <c r="K258">
        <v>104650</v>
      </c>
      <c r="L258">
        <v>2021</v>
      </c>
    </row>
    <row r="259" spans="1:12" x14ac:dyDescent="0.35">
      <c r="A259">
        <v>258</v>
      </c>
      <c r="B259" s="1">
        <v>45560</v>
      </c>
      <c r="C259" t="s">
        <v>28</v>
      </c>
      <c r="D259" t="s">
        <v>19</v>
      </c>
      <c r="E259">
        <v>4.8499999999999996</v>
      </c>
      <c r="F259">
        <v>2.12</v>
      </c>
      <c r="G259">
        <v>782052</v>
      </c>
      <c r="H259" t="s">
        <v>22</v>
      </c>
      <c r="I259" t="s">
        <v>15</v>
      </c>
      <c r="J259">
        <v>27</v>
      </c>
      <c r="K259">
        <v>222896</v>
      </c>
      <c r="L259">
        <v>2024</v>
      </c>
    </row>
    <row r="260" spans="1:12" x14ac:dyDescent="0.35">
      <c r="A260">
        <v>259</v>
      </c>
      <c r="B260" s="1">
        <v>44488</v>
      </c>
      <c r="C260" t="s">
        <v>27</v>
      </c>
      <c r="D260" t="s">
        <v>29</v>
      </c>
      <c r="E260">
        <v>2.19</v>
      </c>
      <c r="F260">
        <v>0.54</v>
      </c>
      <c r="G260">
        <v>467001</v>
      </c>
      <c r="H260" t="s">
        <v>17</v>
      </c>
      <c r="I260" t="s">
        <v>15</v>
      </c>
      <c r="J260">
        <v>5</v>
      </c>
      <c r="K260">
        <v>77187</v>
      </c>
      <c r="L260">
        <v>2021</v>
      </c>
    </row>
    <row r="261" spans="1:12" x14ac:dyDescent="0.35">
      <c r="A261">
        <v>260</v>
      </c>
      <c r="B261" s="1">
        <v>45142</v>
      </c>
      <c r="C261" t="s">
        <v>20</v>
      </c>
      <c r="D261" t="s">
        <v>29</v>
      </c>
      <c r="E261">
        <v>4.82</v>
      </c>
      <c r="F261">
        <v>3.88</v>
      </c>
      <c r="G261">
        <v>998743</v>
      </c>
      <c r="H261" t="s">
        <v>26</v>
      </c>
      <c r="I261" t="s">
        <v>18</v>
      </c>
      <c r="J261">
        <v>6</v>
      </c>
      <c r="K261">
        <v>144860</v>
      </c>
      <c r="L261">
        <v>2023</v>
      </c>
    </row>
    <row r="262" spans="1:12" x14ac:dyDescent="0.35">
      <c r="A262">
        <v>261</v>
      </c>
      <c r="B262" s="1">
        <v>43889</v>
      </c>
      <c r="C262" t="s">
        <v>16</v>
      </c>
      <c r="D262" t="s">
        <v>19</v>
      </c>
      <c r="E262">
        <v>0.85</v>
      </c>
      <c r="F262">
        <v>3.74</v>
      </c>
      <c r="G262">
        <v>250120</v>
      </c>
      <c r="H262" t="s">
        <v>22</v>
      </c>
      <c r="I262" t="s">
        <v>18</v>
      </c>
      <c r="J262">
        <v>22</v>
      </c>
      <c r="K262">
        <v>185567</v>
      </c>
      <c r="L262">
        <v>2020</v>
      </c>
    </row>
    <row r="263" spans="1:12" x14ac:dyDescent="0.35">
      <c r="A263">
        <v>262</v>
      </c>
      <c r="B263" s="1">
        <v>43989</v>
      </c>
      <c r="C263" t="s">
        <v>28</v>
      </c>
      <c r="D263" t="s">
        <v>29</v>
      </c>
      <c r="E263">
        <v>3.12</v>
      </c>
      <c r="F263">
        <v>2.75</v>
      </c>
      <c r="G263">
        <v>960244</v>
      </c>
      <c r="H263" t="s">
        <v>21</v>
      </c>
      <c r="I263" t="s">
        <v>15</v>
      </c>
      <c r="J263">
        <v>1</v>
      </c>
      <c r="K263">
        <v>154110</v>
      </c>
      <c r="L263">
        <v>2020</v>
      </c>
    </row>
    <row r="264" spans="1:12" x14ac:dyDescent="0.35">
      <c r="A264">
        <v>263</v>
      </c>
      <c r="B264" s="1">
        <v>44718</v>
      </c>
      <c r="C264" t="s">
        <v>16</v>
      </c>
      <c r="D264" t="s">
        <v>29</v>
      </c>
      <c r="E264">
        <v>2</v>
      </c>
      <c r="F264">
        <v>2.96</v>
      </c>
      <c r="G264">
        <v>759816</v>
      </c>
      <c r="H264" t="s">
        <v>14</v>
      </c>
      <c r="I264" t="s">
        <v>18</v>
      </c>
      <c r="J264">
        <v>18</v>
      </c>
      <c r="K264">
        <v>218846</v>
      </c>
      <c r="L264">
        <v>2022</v>
      </c>
    </row>
    <row r="265" spans="1:12" x14ac:dyDescent="0.35">
      <c r="A265">
        <v>264</v>
      </c>
      <c r="B265" s="1">
        <v>44741</v>
      </c>
      <c r="C265" t="s">
        <v>27</v>
      </c>
      <c r="D265" t="s">
        <v>19</v>
      </c>
      <c r="E265">
        <v>4.93</v>
      </c>
      <c r="F265">
        <v>0.96</v>
      </c>
      <c r="G265">
        <v>161079</v>
      </c>
      <c r="H265" t="s">
        <v>14</v>
      </c>
      <c r="I265" t="s">
        <v>18</v>
      </c>
      <c r="J265">
        <v>38</v>
      </c>
      <c r="K265">
        <v>214639</v>
      </c>
      <c r="L265">
        <v>2022</v>
      </c>
    </row>
    <row r="266" spans="1:12" x14ac:dyDescent="0.35">
      <c r="A266">
        <v>265</v>
      </c>
      <c r="B266" s="1">
        <v>43947</v>
      </c>
      <c r="C266" t="s">
        <v>20</v>
      </c>
      <c r="D266" t="s">
        <v>29</v>
      </c>
      <c r="E266">
        <v>3.01</v>
      </c>
      <c r="F266">
        <v>0.17</v>
      </c>
      <c r="G266">
        <v>191105</v>
      </c>
      <c r="H266" t="s">
        <v>14</v>
      </c>
      <c r="I266" t="s">
        <v>18</v>
      </c>
      <c r="J266">
        <v>31</v>
      </c>
      <c r="K266">
        <v>241268</v>
      </c>
      <c r="L266">
        <v>2020</v>
      </c>
    </row>
    <row r="267" spans="1:12" x14ac:dyDescent="0.35">
      <c r="A267">
        <v>266</v>
      </c>
      <c r="B267" s="1">
        <v>44671</v>
      </c>
      <c r="C267" t="s">
        <v>12</v>
      </c>
      <c r="D267" t="s">
        <v>19</v>
      </c>
      <c r="E267">
        <v>2.25</v>
      </c>
      <c r="F267">
        <v>9.86</v>
      </c>
      <c r="G267">
        <v>143828</v>
      </c>
      <c r="H267" t="s">
        <v>22</v>
      </c>
      <c r="I267" t="s">
        <v>18</v>
      </c>
      <c r="J267">
        <v>20</v>
      </c>
      <c r="K267">
        <v>282197</v>
      </c>
      <c r="L267">
        <v>2022</v>
      </c>
    </row>
    <row r="268" spans="1:12" x14ac:dyDescent="0.35">
      <c r="A268">
        <v>267</v>
      </c>
      <c r="B268" s="1">
        <v>44643</v>
      </c>
      <c r="C268" t="s">
        <v>16</v>
      </c>
      <c r="D268" t="s">
        <v>13</v>
      </c>
      <c r="E268">
        <v>4.0599999999999996</v>
      </c>
      <c r="F268">
        <v>8.3800000000000008</v>
      </c>
      <c r="G268">
        <v>611299</v>
      </c>
      <c r="H268" t="s">
        <v>22</v>
      </c>
      <c r="I268" t="s">
        <v>18</v>
      </c>
      <c r="J268">
        <v>8</v>
      </c>
      <c r="K268">
        <v>135523</v>
      </c>
      <c r="L268">
        <v>2022</v>
      </c>
    </row>
    <row r="269" spans="1:12" x14ac:dyDescent="0.35">
      <c r="A269">
        <v>268</v>
      </c>
      <c r="B269" s="1">
        <v>44704</v>
      </c>
      <c r="C269" t="s">
        <v>24</v>
      </c>
      <c r="D269" t="s">
        <v>23</v>
      </c>
      <c r="E269">
        <v>3.64</v>
      </c>
      <c r="F269">
        <v>5.79</v>
      </c>
      <c r="G269">
        <v>842993</v>
      </c>
      <c r="H269" t="s">
        <v>26</v>
      </c>
      <c r="I269" t="s">
        <v>18</v>
      </c>
      <c r="J269">
        <v>21</v>
      </c>
      <c r="K269">
        <v>238277</v>
      </c>
      <c r="L269">
        <v>2022</v>
      </c>
    </row>
    <row r="270" spans="1:12" x14ac:dyDescent="0.35">
      <c r="A270">
        <v>269</v>
      </c>
      <c r="B270" s="1">
        <v>44228</v>
      </c>
      <c r="C270" t="s">
        <v>20</v>
      </c>
      <c r="D270" t="s">
        <v>19</v>
      </c>
      <c r="E270">
        <v>1.46</v>
      </c>
      <c r="F270">
        <v>0.23</v>
      </c>
      <c r="G270">
        <v>815486</v>
      </c>
      <c r="H270" t="s">
        <v>14</v>
      </c>
      <c r="I270" t="s">
        <v>18</v>
      </c>
      <c r="J270">
        <v>46</v>
      </c>
      <c r="K270">
        <v>181680</v>
      </c>
      <c r="L270">
        <v>2021</v>
      </c>
    </row>
    <row r="271" spans="1:12" x14ac:dyDescent="0.35">
      <c r="A271">
        <v>270</v>
      </c>
      <c r="B271" s="1">
        <v>44198</v>
      </c>
      <c r="C271" t="s">
        <v>24</v>
      </c>
      <c r="D271" t="s">
        <v>13</v>
      </c>
      <c r="E271">
        <v>0.68</v>
      </c>
      <c r="F271">
        <v>4.18</v>
      </c>
      <c r="G271">
        <v>987208</v>
      </c>
      <c r="H271" t="s">
        <v>26</v>
      </c>
      <c r="I271" t="s">
        <v>15</v>
      </c>
      <c r="J271">
        <v>24</v>
      </c>
      <c r="K271">
        <v>182290</v>
      </c>
      <c r="L271">
        <v>2021</v>
      </c>
    </row>
    <row r="272" spans="1:12" x14ac:dyDescent="0.35">
      <c r="A272">
        <v>271</v>
      </c>
      <c r="B272" s="1">
        <v>45528</v>
      </c>
      <c r="C272" t="s">
        <v>30</v>
      </c>
      <c r="D272" t="s">
        <v>13</v>
      </c>
      <c r="E272">
        <v>2.11</v>
      </c>
      <c r="F272">
        <v>2.97</v>
      </c>
      <c r="G272">
        <v>312163</v>
      </c>
      <c r="H272" t="s">
        <v>22</v>
      </c>
      <c r="I272" t="s">
        <v>15</v>
      </c>
      <c r="J272">
        <v>46</v>
      </c>
      <c r="K272">
        <v>32806</v>
      </c>
      <c r="L272">
        <v>2024</v>
      </c>
    </row>
    <row r="273" spans="1:12" x14ac:dyDescent="0.35">
      <c r="A273">
        <v>272</v>
      </c>
      <c r="B273" s="1">
        <v>45098</v>
      </c>
      <c r="C273" t="s">
        <v>30</v>
      </c>
      <c r="D273" t="s">
        <v>19</v>
      </c>
      <c r="E273">
        <v>3.4</v>
      </c>
      <c r="F273">
        <v>0.95</v>
      </c>
      <c r="G273">
        <v>77481</v>
      </c>
      <c r="H273" t="s">
        <v>26</v>
      </c>
      <c r="I273" t="s">
        <v>15</v>
      </c>
      <c r="J273">
        <v>24</v>
      </c>
      <c r="K273">
        <v>181922</v>
      </c>
      <c r="L273">
        <v>2023</v>
      </c>
    </row>
    <row r="274" spans="1:12" x14ac:dyDescent="0.35">
      <c r="A274">
        <v>273</v>
      </c>
      <c r="B274" s="1">
        <v>45094</v>
      </c>
      <c r="C274" t="s">
        <v>16</v>
      </c>
      <c r="D274" t="s">
        <v>29</v>
      </c>
      <c r="E274">
        <v>4.24</v>
      </c>
      <c r="F274">
        <v>4.8600000000000003</v>
      </c>
      <c r="G274">
        <v>712719</v>
      </c>
      <c r="H274" t="s">
        <v>14</v>
      </c>
      <c r="I274" t="s">
        <v>18</v>
      </c>
      <c r="J274">
        <v>16</v>
      </c>
      <c r="K274">
        <v>237379</v>
      </c>
      <c r="L274">
        <v>2023</v>
      </c>
    </row>
    <row r="275" spans="1:12" x14ac:dyDescent="0.35">
      <c r="A275">
        <v>274</v>
      </c>
      <c r="B275" s="1">
        <v>45480</v>
      </c>
      <c r="C275" t="s">
        <v>24</v>
      </c>
      <c r="D275" t="s">
        <v>29</v>
      </c>
      <c r="E275">
        <v>2.68</v>
      </c>
      <c r="F275">
        <v>2.79</v>
      </c>
      <c r="G275">
        <v>875066</v>
      </c>
      <c r="H275" t="s">
        <v>17</v>
      </c>
      <c r="I275" t="s">
        <v>15</v>
      </c>
      <c r="J275">
        <v>10</v>
      </c>
      <c r="K275">
        <v>276806</v>
      </c>
      <c r="L275">
        <v>2024</v>
      </c>
    </row>
    <row r="276" spans="1:12" x14ac:dyDescent="0.35">
      <c r="A276">
        <v>275</v>
      </c>
      <c r="B276" s="1">
        <v>44544</v>
      </c>
      <c r="C276" t="s">
        <v>24</v>
      </c>
      <c r="D276" t="s">
        <v>13</v>
      </c>
      <c r="E276">
        <v>4.38</v>
      </c>
      <c r="F276">
        <v>1.88</v>
      </c>
      <c r="G276">
        <v>151106</v>
      </c>
      <c r="H276" t="s">
        <v>22</v>
      </c>
      <c r="I276" t="s">
        <v>15</v>
      </c>
      <c r="J276">
        <v>17</v>
      </c>
      <c r="K276">
        <v>200235</v>
      </c>
      <c r="L276">
        <v>2021</v>
      </c>
    </row>
    <row r="277" spans="1:12" x14ac:dyDescent="0.35">
      <c r="A277">
        <v>276</v>
      </c>
      <c r="B277" s="1">
        <v>44012</v>
      </c>
      <c r="C277" t="s">
        <v>12</v>
      </c>
      <c r="D277" t="s">
        <v>13</v>
      </c>
      <c r="E277">
        <v>1.96</v>
      </c>
      <c r="F277">
        <v>9.84</v>
      </c>
      <c r="G277">
        <v>570869</v>
      </c>
      <c r="H277" t="s">
        <v>17</v>
      </c>
      <c r="I277" t="s">
        <v>15</v>
      </c>
      <c r="J277">
        <v>25</v>
      </c>
      <c r="K277">
        <v>59580</v>
      </c>
      <c r="L277">
        <v>2020</v>
      </c>
    </row>
    <row r="278" spans="1:12" x14ac:dyDescent="0.35">
      <c r="A278">
        <v>277</v>
      </c>
      <c r="B278" s="1">
        <v>44342</v>
      </c>
      <c r="C278" t="s">
        <v>24</v>
      </c>
      <c r="D278" t="s">
        <v>19</v>
      </c>
      <c r="E278">
        <v>3.99</v>
      </c>
      <c r="F278">
        <v>1.26</v>
      </c>
      <c r="G278">
        <v>780194</v>
      </c>
      <c r="H278" t="s">
        <v>14</v>
      </c>
      <c r="I278" t="s">
        <v>15</v>
      </c>
      <c r="J278">
        <v>17</v>
      </c>
      <c r="K278">
        <v>270897</v>
      </c>
      <c r="L278">
        <v>2021</v>
      </c>
    </row>
    <row r="279" spans="1:12" x14ac:dyDescent="0.35">
      <c r="A279">
        <v>278</v>
      </c>
      <c r="B279" s="1">
        <v>45171</v>
      </c>
      <c r="C279" t="s">
        <v>28</v>
      </c>
      <c r="D279" t="s">
        <v>23</v>
      </c>
      <c r="E279">
        <v>4.58</v>
      </c>
      <c r="F279">
        <v>9.8800000000000008</v>
      </c>
      <c r="G279">
        <v>632273</v>
      </c>
      <c r="H279" t="s">
        <v>14</v>
      </c>
      <c r="I279" t="s">
        <v>18</v>
      </c>
      <c r="J279">
        <v>27</v>
      </c>
      <c r="K279">
        <v>103830</v>
      </c>
      <c r="L279">
        <v>2023</v>
      </c>
    </row>
    <row r="280" spans="1:12" x14ac:dyDescent="0.35">
      <c r="A280">
        <v>279</v>
      </c>
      <c r="B280" s="1">
        <v>45287</v>
      </c>
      <c r="C280" t="s">
        <v>16</v>
      </c>
      <c r="D280" t="s">
        <v>23</v>
      </c>
      <c r="E280">
        <v>2.72</v>
      </c>
      <c r="F280">
        <v>8.9</v>
      </c>
      <c r="G280">
        <v>365773</v>
      </c>
      <c r="H280" t="s">
        <v>22</v>
      </c>
      <c r="I280" t="s">
        <v>18</v>
      </c>
      <c r="J280">
        <v>37</v>
      </c>
      <c r="K280">
        <v>97412</v>
      </c>
      <c r="L280">
        <v>2023</v>
      </c>
    </row>
    <row r="281" spans="1:12" x14ac:dyDescent="0.35">
      <c r="A281">
        <v>280</v>
      </c>
      <c r="B281" s="1">
        <v>45555</v>
      </c>
      <c r="C281" t="s">
        <v>16</v>
      </c>
      <c r="D281" t="s">
        <v>13</v>
      </c>
      <c r="E281">
        <v>3.83</v>
      </c>
      <c r="F281">
        <v>6.5</v>
      </c>
      <c r="G281">
        <v>504938</v>
      </c>
      <c r="H281" t="s">
        <v>14</v>
      </c>
      <c r="I281" t="s">
        <v>18</v>
      </c>
      <c r="J281">
        <v>39</v>
      </c>
      <c r="K281">
        <v>13419</v>
      </c>
      <c r="L281">
        <v>2024</v>
      </c>
    </row>
    <row r="282" spans="1:12" x14ac:dyDescent="0.35">
      <c r="A282">
        <v>281</v>
      </c>
      <c r="B282" s="1">
        <v>44947</v>
      </c>
      <c r="C282" t="s">
        <v>27</v>
      </c>
      <c r="D282" t="s">
        <v>19</v>
      </c>
      <c r="E282">
        <v>1.43</v>
      </c>
      <c r="F282">
        <v>5.68</v>
      </c>
      <c r="G282">
        <v>165057</v>
      </c>
      <c r="H282" t="s">
        <v>22</v>
      </c>
      <c r="I282" t="s">
        <v>15</v>
      </c>
      <c r="J282">
        <v>24</v>
      </c>
      <c r="K282">
        <v>121695</v>
      </c>
      <c r="L282">
        <v>2023</v>
      </c>
    </row>
    <row r="283" spans="1:12" x14ac:dyDescent="0.35">
      <c r="A283">
        <v>282</v>
      </c>
      <c r="B283" s="1">
        <v>44960</v>
      </c>
      <c r="C283" t="s">
        <v>12</v>
      </c>
      <c r="D283" t="s">
        <v>25</v>
      </c>
      <c r="E283">
        <v>3.34</v>
      </c>
      <c r="F283">
        <v>0.8</v>
      </c>
      <c r="G283">
        <v>199627</v>
      </c>
      <c r="H283" t="s">
        <v>17</v>
      </c>
      <c r="I283" t="s">
        <v>15</v>
      </c>
      <c r="J283">
        <v>17</v>
      </c>
      <c r="K283">
        <v>271815</v>
      </c>
      <c r="L283">
        <v>2023</v>
      </c>
    </row>
    <row r="284" spans="1:12" x14ac:dyDescent="0.35">
      <c r="A284">
        <v>283</v>
      </c>
      <c r="B284" s="1">
        <v>45058</v>
      </c>
      <c r="C284" t="s">
        <v>30</v>
      </c>
      <c r="D284" t="s">
        <v>19</v>
      </c>
      <c r="E284">
        <v>4.2</v>
      </c>
      <c r="F284">
        <v>3.13</v>
      </c>
      <c r="G284">
        <v>285991</v>
      </c>
      <c r="H284" t="s">
        <v>17</v>
      </c>
      <c r="I284" t="s">
        <v>18</v>
      </c>
      <c r="J284">
        <v>30</v>
      </c>
      <c r="K284">
        <v>93870</v>
      </c>
      <c r="L284">
        <v>2023</v>
      </c>
    </row>
    <row r="285" spans="1:12" x14ac:dyDescent="0.35">
      <c r="A285">
        <v>284</v>
      </c>
      <c r="B285" s="1">
        <v>44044</v>
      </c>
      <c r="C285" t="s">
        <v>27</v>
      </c>
      <c r="D285" t="s">
        <v>29</v>
      </c>
      <c r="E285">
        <v>1.37</v>
      </c>
      <c r="F285">
        <v>9.5500000000000007</v>
      </c>
      <c r="G285">
        <v>267879</v>
      </c>
      <c r="H285" t="s">
        <v>14</v>
      </c>
      <c r="I285" t="s">
        <v>18</v>
      </c>
      <c r="J285">
        <v>8</v>
      </c>
      <c r="K285">
        <v>123838</v>
      </c>
      <c r="L285">
        <v>2020</v>
      </c>
    </row>
    <row r="286" spans="1:12" x14ac:dyDescent="0.35">
      <c r="A286">
        <v>285</v>
      </c>
      <c r="B286" s="1">
        <v>45527</v>
      </c>
      <c r="C286" t="s">
        <v>16</v>
      </c>
      <c r="D286" t="s">
        <v>23</v>
      </c>
      <c r="E286">
        <v>3.02</v>
      </c>
      <c r="F286">
        <v>2.08</v>
      </c>
      <c r="G286">
        <v>78952</v>
      </c>
      <c r="H286" t="s">
        <v>14</v>
      </c>
      <c r="I286" t="s">
        <v>15</v>
      </c>
      <c r="J286">
        <v>11</v>
      </c>
      <c r="K286">
        <v>59083</v>
      </c>
      <c r="L286">
        <v>2024</v>
      </c>
    </row>
    <row r="287" spans="1:12" x14ac:dyDescent="0.35">
      <c r="A287">
        <v>286</v>
      </c>
      <c r="B287" s="1">
        <v>45138</v>
      </c>
      <c r="C287" t="s">
        <v>12</v>
      </c>
      <c r="D287" t="s">
        <v>19</v>
      </c>
      <c r="E287">
        <v>1.73</v>
      </c>
      <c r="F287">
        <v>9.51</v>
      </c>
      <c r="G287">
        <v>497717</v>
      </c>
      <c r="H287" t="s">
        <v>22</v>
      </c>
      <c r="I287" t="s">
        <v>18</v>
      </c>
      <c r="J287">
        <v>24</v>
      </c>
      <c r="K287">
        <v>221678</v>
      </c>
      <c r="L287">
        <v>2023</v>
      </c>
    </row>
    <row r="288" spans="1:12" x14ac:dyDescent="0.35">
      <c r="A288">
        <v>287</v>
      </c>
      <c r="B288" s="1">
        <v>44991</v>
      </c>
      <c r="C288" t="s">
        <v>16</v>
      </c>
      <c r="D288" t="s">
        <v>19</v>
      </c>
      <c r="E288">
        <v>2.37</v>
      </c>
      <c r="F288">
        <v>5.22</v>
      </c>
      <c r="G288">
        <v>493191</v>
      </c>
      <c r="H288" t="s">
        <v>14</v>
      </c>
      <c r="I288" t="s">
        <v>15</v>
      </c>
      <c r="J288">
        <v>5</v>
      </c>
      <c r="K288">
        <v>225616</v>
      </c>
      <c r="L288">
        <v>2023</v>
      </c>
    </row>
    <row r="289" spans="1:12" x14ac:dyDescent="0.35">
      <c r="A289">
        <v>288</v>
      </c>
      <c r="B289" s="1">
        <v>44451</v>
      </c>
      <c r="C289" t="s">
        <v>16</v>
      </c>
      <c r="D289" t="s">
        <v>13</v>
      </c>
      <c r="E289">
        <v>0.46</v>
      </c>
      <c r="F289">
        <v>3.07</v>
      </c>
      <c r="G289">
        <v>339396</v>
      </c>
      <c r="H289" t="s">
        <v>17</v>
      </c>
      <c r="I289" t="s">
        <v>15</v>
      </c>
      <c r="J289">
        <v>14</v>
      </c>
      <c r="K289">
        <v>252785</v>
      </c>
      <c r="L289">
        <v>2021</v>
      </c>
    </row>
    <row r="290" spans="1:12" x14ac:dyDescent="0.35">
      <c r="A290">
        <v>289</v>
      </c>
      <c r="B290" s="1">
        <v>44335</v>
      </c>
      <c r="C290" t="s">
        <v>12</v>
      </c>
      <c r="D290" t="s">
        <v>25</v>
      </c>
      <c r="E290">
        <v>4.6100000000000003</v>
      </c>
      <c r="F290">
        <v>5.1100000000000003</v>
      </c>
      <c r="G290">
        <v>79872</v>
      </c>
      <c r="H290" t="s">
        <v>21</v>
      </c>
      <c r="I290" t="s">
        <v>18</v>
      </c>
      <c r="J290">
        <v>45</v>
      </c>
      <c r="K290">
        <v>217057</v>
      </c>
      <c r="L290">
        <v>2021</v>
      </c>
    </row>
    <row r="291" spans="1:12" x14ac:dyDescent="0.35">
      <c r="A291">
        <v>290</v>
      </c>
      <c r="B291" s="1">
        <v>45094</v>
      </c>
      <c r="C291" t="s">
        <v>30</v>
      </c>
      <c r="D291" t="s">
        <v>13</v>
      </c>
      <c r="E291">
        <v>3.68</v>
      </c>
      <c r="F291">
        <v>5.27</v>
      </c>
      <c r="G291">
        <v>366405</v>
      </c>
      <c r="H291" t="s">
        <v>22</v>
      </c>
      <c r="I291" t="s">
        <v>15</v>
      </c>
      <c r="J291">
        <v>16</v>
      </c>
      <c r="K291">
        <v>47027</v>
      </c>
      <c r="L291">
        <v>2023</v>
      </c>
    </row>
    <row r="292" spans="1:12" x14ac:dyDescent="0.35">
      <c r="A292">
        <v>291</v>
      </c>
      <c r="B292" s="1">
        <v>44903</v>
      </c>
      <c r="C292" t="s">
        <v>20</v>
      </c>
      <c r="D292" t="s">
        <v>29</v>
      </c>
      <c r="E292">
        <v>4.79</v>
      </c>
      <c r="F292">
        <v>7.31</v>
      </c>
      <c r="G292">
        <v>153311</v>
      </c>
      <c r="H292" t="s">
        <v>21</v>
      </c>
      <c r="I292" t="s">
        <v>18</v>
      </c>
      <c r="J292">
        <v>4</v>
      </c>
      <c r="K292">
        <v>286453</v>
      </c>
      <c r="L292">
        <v>2022</v>
      </c>
    </row>
    <row r="293" spans="1:12" x14ac:dyDescent="0.35">
      <c r="A293">
        <v>292</v>
      </c>
      <c r="B293" s="1">
        <v>44110</v>
      </c>
      <c r="C293" t="s">
        <v>24</v>
      </c>
      <c r="D293" t="s">
        <v>19</v>
      </c>
      <c r="E293">
        <v>1.36</v>
      </c>
      <c r="F293">
        <v>7.82</v>
      </c>
      <c r="G293">
        <v>727071</v>
      </c>
      <c r="H293" t="s">
        <v>22</v>
      </c>
      <c r="I293" t="s">
        <v>15</v>
      </c>
      <c r="J293">
        <v>12</v>
      </c>
      <c r="K293">
        <v>157977</v>
      </c>
      <c r="L293">
        <v>2020</v>
      </c>
    </row>
    <row r="294" spans="1:12" x14ac:dyDescent="0.35">
      <c r="A294">
        <v>293</v>
      </c>
      <c r="B294" s="1">
        <v>44089</v>
      </c>
      <c r="C294" t="s">
        <v>30</v>
      </c>
      <c r="D294" t="s">
        <v>25</v>
      </c>
      <c r="E294">
        <v>1.63</v>
      </c>
      <c r="F294">
        <v>1.46</v>
      </c>
      <c r="G294">
        <v>241815</v>
      </c>
      <c r="H294" t="s">
        <v>14</v>
      </c>
      <c r="I294" t="s">
        <v>15</v>
      </c>
      <c r="J294">
        <v>29</v>
      </c>
      <c r="K294">
        <v>19372</v>
      </c>
      <c r="L294">
        <v>2020</v>
      </c>
    </row>
    <row r="295" spans="1:12" x14ac:dyDescent="0.35">
      <c r="A295">
        <v>294</v>
      </c>
      <c r="B295" s="1">
        <v>45004</v>
      </c>
      <c r="C295" t="s">
        <v>16</v>
      </c>
      <c r="D295" t="s">
        <v>29</v>
      </c>
      <c r="E295">
        <v>2.56</v>
      </c>
      <c r="F295">
        <v>9.31</v>
      </c>
      <c r="G295">
        <v>691139</v>
      </c>
      <c r="H295" t="s">
        <v>22</v>
      </c>
      <c r="I295" t="s">
        <v>15</v>
      </c>
      <c r="J295">
        <v>25</v>
      </c>
      <c r="K295">
        <v>246896</v>
      </c>
      <c r="L295">
        <v>2023</v>
      </c>
    </row>
    <row r="296" spans="1:12" x14ac:dyDescent="0.35">
      <c r="A296">
        <v>295</v>
      </c>
      <c r="B296" s="1">
        <v>44901</v>
      </c>
      <c r="C296" t="s">
        <v>24</v>
      </c>
      <c r="D296" t="s">
        <v>23</v>
      </c>
      <c r="E296">
        <v>0.42</v>
      </c>
      <c r="F296">
        <v>2.21</v>
      </c>
      <c r="G296">
        <v>644374</v>
      </c>
      <c r="H296" t="s">
        <v>17</v>
      </c>
      <c r="I296" t="s">
        <v>15</v>
      </c>
      <c r="J296">
        <v>17</v>
      </c>
      <c r="K296">
        <v>72100</v>
      </c>
      <c r="L296">
        <v>2022</v>
      </c>
    </row>
    <row r="297" spans="1:12" x14ac:dyDescent="0.35">
      <c r="A297">
        <v>296</v>
      </c>
      <c r="B297" s="1">
        <v>44518</v>
      </c>
      <c r="C297" t="s">
        <v>28</v>
      </c>
      <c r="D297" t="s">
        <v>23</v>
      </c>
      <c r="E297">
        <v>3.06</v>
      </c>
      <c r="F297">
        <v>3.98</v>
      </c>
      <c r="G297">
        <v>720340</v>
      </c>
      <c r="H297" t="s">
        <v>26</v>
      </c>
      <c r="I297" t="s">
        <v>15</v>
      </c>
      <c r="J297">
        <v>43</v>
      </c>
      <c r="K297">
        <v>64339</v>
      </c>
      <c r="L297">
        <v>2021</v>
      </c>
    </row>
    <row r="298" spans="1:12" x14ac:dyDescent="0.35">
      <c r="A298">
        <v>297</v>
      </c>
      <c r="B298" s="1">
        <v>45416</v>
      </c>
      <c r="C298" t="s">
        <v>16</v>
      </c>
      <c r="D298" t="s">
        <v>25</v>
      </c>
      <c r="E298">
        <v>2.83</v>
      </c>
      <c r="F298">
        <v>9.07</v>
      </c>
      <c r="G298">
        <v>987276</v>
      </c>
      <c r="H298" t="s">
        <v>14</v>
      </c>
      <c r="I298" t="s">
        <v>18</v>
      </c>
      <c r="J298">
        <v>13</v>
      </c>
      <c r="K298">
        <v>286119</v>
      </c>
      <c r="L298">
        <v>2024</v>
      </c>
    </row>
    <row r="299" spans="1:12" x14ac:dyDescent="0.35">
      <c r="A299">
        <v>298</v>
      </c>
      <c r="B299" s="1">
        <v>44157</v>
      </c>
      <c r="C299" t="s">
        <v>24</v>
      </c>
      <c r="D299" t="s">
        <v>13</v>
      </c>
      <c r="E299">
        <v>4.05</v>
      </c>
      <c r="F299">
        <v>7.15</v>
      </c>
      <c r="G299">
        <v>320145</v>
      </c>
      <c r="H299" t="s">
        <v>26</v>
      </c>
      <c r="I299" t="s">
        <v>18</v>
      </c>
      <c r="J299">
        <v>48</v>
      </c>
      <c r="K299">
        <v>108934</v>
      </c>
      <c r="L299">
        <v>2020</v>
      </c>
    </row>
    <row r="300" spans="1:12" x14ac:dyDescent="0.35">
      <c r="A300">
        <v>299</v>
      </c>
      <c r="B300" s="1">
        <v>45532</v>
      </c>
      <c r="C300" t="s">
        <v>20</v>
      </c>
      <c r="D300" t="s">
        <v>19</v>
      </c>
      <c r="E300">
        <v>1.72</v>
      </c>
      <c r="F300">
        <v>8.98</v>
      </c>
      <c r="G300">
        <v>642516</v>
      </c>
      <c r="H300" t="s">
        <v>17</v>
      </c>
      <c r="I300" t="s">
        <v>18</v>
      </c>
      <c r="J300">
        <v>41</v>
      </c>
      <c r="K300">
        <v>137040</v>
      </c>
      <c r="L300">
        <v>2024</v>
      </c>
    </row>
    <row r="301" spans="1:12" x14ac:dyDescent="0.35">
      <c r="A301">
        <v>300</v>
      </c>
      <c r="B301" s="1">
        <v>45238</v>
      </c>
      <c r="C301" t="s">
        <v>28</v>
      </c>
      <c r="D301" t="s">
        <v>29</v>
      </c>
      <c r="E301">
        <v>4.99</v>
      </c>
      <c r="F301">
        <v>5.01</v>
      </c>
      <c r="G301">
        <v>467853</v>
      </c>
      <c r="H301" t="s">
        <v>17</v>
      </c>
      <c r="I301" t="s">
        <v>15</v>
      </c>
      <c r="J301">
        <v>22</v>
      </c>
      <c r="K301">
        <v>21287</v>
      </c>
      <c r="L301">
        <v>2023</v>
      </c>
    </row>
    <row r="302" spans="1:12" x14ac:dyDescent="0.35">
      <c r="A302">
        <v>301</v>
      </c>
      <c r="B302" s="1">
        <v>44326</v>
      </c>
      <c r="C302" t="s">
        <v>16</v>
      </c>
      <c r="D302" t="s">
        <v>13</v>
      </c>
      <c r="E302">
        <v>0.68</v>
      </c>
      <c r="F302">
        <v>6.68</v>
      </c>
      <c r="G302">
        <v>260898</v>
      </c>
      <c r="H302" t="s">
        <v>21</v>
      </c>
      <c r="I302" t="s">
        <v>15</v>
      </c>
      <c r="J302">
        <v>34</v>
      </c>
      <c r="K302">
        <v>95507</v>
      </c>
      <c r="L302">
        <v>2021</v>
      </c>
    </row>
    <row r="303" spans="1:12" x14ac:dyDescent="0.35">
      <c r="A303">
        <v>302</v>
      </c>
      <c r="B303" s="1">
        <v>45393</v>
      </c>
      <c r="C303" t="s">
        <v>28</v>
      </c>
      <c r="D303" t="s">
        <v>29</v>
      </c>
      <c r="E303">
        <v>0.2</v>
      </c>
      <c r="F303">
        <v>1.88</v>
      </c>
      <c r="G303">
        <v>673593</v>
      </c>
      <c r="H303" t="s">
        <v>22</v>
      </c>
      <c r="I303" t="s">
        <v>18</v>
      </c>
      <c r="J303">
        <v>18</v>
      </c>
      <c r="K303">
        <v>184665</v>
      </c>
      <c r="L303">
        <v>2024</v>
      </c>
    </row>
    <row r="304" spans="1:12" x14ac:dyDescent="0.35">
      <c r="A304">
        <v>303</v>
      </c>
      <c r="B304" s="1">
        <v>44196</v>
      </c>
      <c r="C304" t="s">
        <v>28</v>
      </c>
      <c r="D304" t="s">
        <v>29</v>
      </c>
      <c r="E304">
        <v>1.55</v>
      </c>
      <c r="F304">
        <v>1</v>
      </c>
      <c r="G304">
        <v>562741</v>
      </c>
      <c r="H304" t="s">
        <v>14</v>
      </c>
      <c r="I304" t="s">
        <v>15</v>
      </c>
      <c r="J304">
        <v>24</v>
      </c>
      <c r="K304">
        <v>23214</v>
      </c>
      <c r="L304">
        <v>2020</v>
      </c>
    </row>
    <row r="305" spans="1:12" x14ac:dyDescent="0.35">
      <c r="A305">
        <v>304</v>
      </c>
      <c r="B305" s="1">
        <v>44371</v>
      </c>
      <c r="C305" t="s">
        <v>27</v>
      </c>
      <c r="D305" t="s">
        <v>29</v>
      </c>
      <c r="E305">
        <v>0.61</v>
      </c>
      <c r="F305">
        <v>9.75</v>
      </c>
      <c r="G305">
        <v>138542</v>
      </c>
      <c r="H305" t="s">
        <v>22</v>
      </c>
      <c r="I305" t="s">
        <v>18</v>
      </c>
      <c r="J305">
        <v>18</v>
      </c>
      <c r="K305">
        <v>30227</v>
      </c>
      <c r="L305">
        <v>2021</v>
      </c>
    </row>
    <row r="306" spans="1:12" x14ac:dyDescent="0.35">
      <c r="A306">
        <v>305</v>
      </c>
      <c r="B306" s="1">
        <v>44829</v>
      </c>
      <c r="C306" t="s">
        <v>20</v>
      </c>
      <c r="D306" t="s">
        <v>23</v>
      </c>
      <c r="E306">
        <v>3.43</v>
      </c>
      <c r="F306">
        <v>8.4</v>
      </c>
      <c r="G306">
        <v>521101</v>
      </c>
      <c r="H306" t="s">
        <v>17</v>
      </c>
      <c r="I306" t="s">
        <v>15</v>
      </c>
      <c r="J306">
        <v>5</v>
      </c>
      <c r="K306">
        <v>159804</v>
      </c>
      <c r="L306">
        <v>2022</v>
      </c>
    </row>
    <row r="307" spans="1:12" x14ac:dyDescent="0.35">
      <c r="A307">
        <v>306</v>
      </c>
      <c r="B307" s="1">
        <v>44537</v>
      </c>
      <c r="C307" t="s">
        <v>20</v>
      </c>
      <c r="D307" t="s">
        <v>25</v>
      </c>
      <c r="E307">
        <v>1.1599999999999999</v>
      </c>
      <c r="F307">
        <v>3.53</v>
      </c>
      <c r="G307">
        <v>642401</v>
      </c>
      <c r="H307" t="s">
        <v>22</v>
      </c>
      <c r="I307" t="s">
        <v>15</v>
      </c>
      <c r="J307">
        <v>38</v>
      </c>
      <c r="K307">
        <v>44768</v>
      </c>
      <c r="L307">
        <v>2021</v>
      </c>
    </row>
    <row r="308" spans="1:12" x14ac:dyDescent="0.35">
      <c r="A308">
        <v>307</v>
      </c>
      <c r="B308" s="1">
        <v>45175</v>
      </c>
      <c r="C308" t="s">
        <v>24</v>
      </c>
      <c r="D308" t="s">
        <v>13</v>
      </c>
      <c r="E308">
        <v>1.17</v>
      </c>
      <c r="F308">
        <v>0.46</v>
      </c>
      <c r="G308">
        <v>913706</v>
      </c>
      <c r="H308" t="s">
        <v>26</v>
      </c>
      <c r="I308" t="s">
        <v>18</v>
      </c>
      <c r="J308">
        <v>9</v>
      </c>
      <c r="K308">
        <v>19761</v>
      </c>
      <c r="L308">
        <v>2023</v>
      </c>
    </row>
    <row r="309" spans="1:12" x14ac:dyDescent="0.35">
      <c r="A309">
        <v>308</v>
      </c>
      <c r="B309" s="1">
        <v>45007</v>
      </c>
      <c r="C309" t="s">
        <v>12</v>
      </c>
      <c r="D309" t="s">
        <v>25</v>
      </c>
      <c r="E309">
        <v>1.81</v>
      </c>
      <c r="F309">
        <v>4.0999999999999996</v>
      </c>
      <c r="G309">
        <v>408560</v>
      </c>
      <c r="H309" t="s">
        <v>21</v>
      </c>
      <c r="I309" t="s">
        <v>15</v>
      </c>
      <c r="J309">
        <v>28</v>
      </c>
      <c r="K309">
        <v>143722</v>
      </c>
      <c r="L309">
        <v>2023</v>
      </c>
    </row>
    <row r="310" spans="1:12" x14ac:dyDescent="0.35">
      <c r="A310">
        <v>309</v>
      </c>
      <c r="B310" s="1">
        <v>44406</v>
      </c>
      <c r="C310" t="s">
        <v>30</v>
      </c>
      <c r="D310" t="s">
        <v>23</v>
      </c>
      <c r="E310">
        <v>4.0199999999999996</v>
      </c>
      <c r="F310">
        <v>9.49</v>
      </c>
      <c r="G310">
        <v>334517</v>
      </c>
      <c r="H310" t="s">
        <v>26</v>
      </c>
      <c r="I310" t="s">
        <v>18</v>
      </c>
      <c r="J310">
        <v>27</v>
      </c>
      <c r="K310">
        <v>224416</v>
      </c>
      <c r="L310">
        <v>2021</v>
      </c>
    </row>
    <row r="311" spans="1:12" x14ac:dyDescent="0.35">
      <c r="A311">
        <v>310</v>
      </c>
      <c r="B311" s="1">
        <v>44496</v>
      </c>
      <c r="C311" t="s">
        <v>24</v>
      </c>
      <c r="D311" t="s">
        <v>25</v>
      </c>
      <c r="E311">
        <v>3.05</v>
      </c>
      <c r="F311">
        <v>7.75</v>
      </c>
      <c r="G311">
        <v>59211</v>
      </c>
      <c r="H311" t="s">
        <v>17</v>
      </c>
      <c r="I311" t="s">
        <v>15</v>
      </c>
      <c r="J311">
        <v>36</v>
      </c>
      <c r="K311">
        <v>148427</v>
      </c>
      <c r="L311">
        <v>2021</v>
      </c>
    </row>
    <row r="312" spans="1:12" x14ac:dyDescent="0.35">
      <c r="A312">
        <v>311</v>
      </c>
      <c r="B312" s="1">
        <v>44047</v>
      </c>
      <c r="C312" t="s">
        <v>20</v>
      </c>
      <c r="D312" t="s">
        <v>19</v>
      </c>
      <c r="E312">
        <v>3.19</v>
      </c>
      <c r="F312">
        <v>1.17</v>
      </c>
      <c r="G312">
        <v>515530</v>
      </c>
      <c r="H312" t="s">
        <v>26</v>
      </c>
      <c r="I312" t="s">
        <v>18</v>
      </c>
      <c r="J312">
        <v>28</v>
      </c>
      <c r="K312">
        <v>65003</v>
      </c>
      <c r="L312">
        <v>2020</v>
      </c>
    </row>
    <row r="313" spans="1:12" x14ac:dyDescent="0.35">
      <c r="A313">
        <v>312</v>
      </c>
      <c r="B313" s="1">
        <v>44849</v>
      </c>
      <c r="C313" t="s">
        <v>20</v>
      </c>
      <c r="D313" t="s">
        <v>25</v>
      </c>
      <c r="E313">
        <v>2.65</v>
      </c>
      <c r="F313">
        <v>5.91</v>
      </c>
      <c r="G313">
        <v>625160</v>
      </c>
      <c r="H313" t="s">
        <v>17</v>
      </c>
      <c r="I313" t="s">
        <v>15</v>
      </c>
      <c r="J313">
        <v>2</v>
      </c>
      <c r="K313">
        <v>271259</v>
      </c>
      <c r="L313">
        <v>2022</v>
      </c>
    </row>
    <row r="314" spans="1:12" x14ac:dyDescent="0.35">
      <c r="A314">
        <v>313</v>
      </c>
      <c r="B314" s="1">
        <v>45344</v>
      </c>
      <c r="C314" t="s">
        <v>24</v>
      </c>
      <c r="D314" t="s">
        <v>25</v>
      </c>
      <c r="E314">
        <v>4.4800000000000004</v>
      </c>
      <c r="F314">
        <v>1.77</v>
      </c>
      <c r="G314">
        <v>233572</v>
      </c>
      <c r="H314" t="s">
        <v>14</v>
      </c>
      <c r="I314" t="s">
        <v>18</v>
      </c>
      <c r="J314">
        <v>18</v>
      </c>
      <c r="K314">
        <v>290653</v>
      </c>
      <c r="L314">
        <v>2024</v>
      </c>
    </row>
    <row r="315" spans="1:12" x14ac:dyDescent="0.35">
      <c r="A315">
        <v>314</v>
      </c>
      <c r="B315" s="1">
        <v>44636</v>
      </c>
      <c r="C315" t="s">
        <v>24</v>
      </c>
      <c r="D315" t="s">
        <v>13</v>
      </c>
      <c r="E315">
        <v>4.32</v>
      </c>
      <c r="F315">
        <v>4.96</v>
      </c>
      <c r="G315">
        <v>687678</v>
      </c>
      <c r="H315" t="s">
        <v>21</v>
      </c>
      <c r="I315" t="s">
        <v>15</v>
      </c>
      <c r="J315">
        <v>10</v>
      </c>
      <c r="K315">
        <v>125391</v>
      </c>
      <c r="L315">
        <v>2022</v>
      </c>
    </row>
    <row r="316" spans="1:12" x14ac:dyDescent="0.35">
      <c r="A316">
        <v>315</v>
      </c>
      <c r="B316" s="1">
        <v>44505</v>
      </c>
      <c r="C316" t="s">
        <v>28</v>
      </c>
      <c r="D316" t="s">
        <v>23</v>
      </c>
      <c r="E316">
        <v>1.53</v>
      </c>
      <c r="F316">
        <v>0.93</v>
      </c>
      <c r="G316">
        <v>127345</v>
      </c>
      <c r="H316" t="s">
        <v>26</v>
      </c>
      <c r="I316" t="s">
        <v>15</v>
      </c>
      <c r="J316">
        <v>18</v>
      </c>
      <c r="K316">
        <v>265277</v>
      </c>
      <c r="L316">
        <v>2021</v>
      </c>
    </row>
    <row r="317" spans="1:12" x14ac:dyDescent="0.35">
      <c r="A317">
        <v>316</v>
      </c>
      <c r="B317" s="1">
        <v>45474</v>
      </c>
      <c r="C317" t="s">
        <v>28</v>
      </c>
      <c r="D317" t="s">
        <v>19</v>
      </c>
      <c r="E317">
        <v>2.19</v>
      </c>
      <c r="F317">
        <v>9.8800000000000008</v>
      </c>
      <c r="G317">
        <v>241308</v>
      </c>
      <c r="H317" t="s">
        <v>17</v>
      </c>
      <c r="I317" t="s">
        <v>15</v>
      </c>
      <c r="J317">
        <v>29</v>
      </c>
      <c r="K317">
        <v>262171</v>
      </c>
      <c r="L317">
        <v>2024</v>
      </c>
    </row>
    <row r="318" spans="1:12" x14ac:dyDescent="0.35">
      <c r="A318">
        <v>317</v>
      </c>
      <c r="B318" s="1">
        <v>44477</v>
      </c>
      <c r="C318" t="s">
        <v>12</v>
      </c>
      <c r="D318" t="s">
        <v>19</v>
      </c>
      <c r="E318">
        <v>1.05</v>
      </c>
      <c r="F318">
        <v>3.1</v>
      </c>
      <c r="G318">
        <v>271913</v>
      </c>
      <c r="H318" t="s">
        <v>14</v>
      </c>
      <c r="I318" t="s">
        <v>15</v>
      </c>
      <c r="J318">
        <v>44</v>
      </c>
      <c r="K318">
        <v>231904</v>
      </c>
      <c r="L318">
        <v>2021</v>
      </c>
    </row>
    <row r="319" spans="1:12" x14ac:dyDescent="0.35">
      <c r="A319">
        <v>318</v>
      </c>
      <c r="B319" s="1">
        <v>44047</v>
      </c>
      <c r="C319" t="s">
        <v>12</v>
      </c>
      <c r="D319" t="s">
        <v>25</v>
      </c>
      <c r="E319">
        <v>1.32</v>
      </c>
      <c r="F319">
        <v>0.56000000000000005</v>
      </c>
      <c r="G319">
        <v>480121</v>
      </c>
      <c r="H319" t="s">
        <v>21</v>
      </c>
      <c r="I319" t="s">
        <v>18</v>
      </c>
      <c r="J319">
        <v>47</v>
      </c>
      <c r="K319">
        <v>220289</v>
      </c>
      <c r="L319">
        <v>2020</v>
      </c>
    </row>
    <row r="320" spans="1:12" x14ac:dyDescent="0.35">
      <c r="A320">
        <v>319</v>
      </c>
      <c r="B320" s="1">
        <v>43906</v>
      </c>
      <c r="C320" t="s">
        <v>30</v>
      </c>
      <c r="D320" t="s">
        <v>25</v>
      </c>
      <c r="E320">
        <v>0.26</v>
      </c>
      <c r="F320">
        <v>5.81</v>
      </c>
      <c r="G320">
        <v>948814</v>
      </c>
      <c r="H320" t="s">
        <v>21</v>
      </c>
      <c r="I320" t="s">
        <v>18</v>
      </c>
      <c r="J320">
        <v>14</v>
      </c>
      <c r="K320">
        <v>221766</v>
      </c>
      <c r="L320">
        <v>2020</v>
      </c>
    </row>
    <row r="321" spans="1:12" x14ac:dyDescent="0.35">
      <c r="A321">
        <v>320</v>
      </c>
      <c r="B321" s="1">
        <v>45273</v>
      </c>
      <c r="C321" t="s">
        <v>30</v>
      </c>
      <c r="D321" t="s">
        <v>23</v>
      </c>
      <c r="E321">
        <v>2.27</v>
      </c>
      <c r="F321">
        <v>2.25</v>
      </c>
      <c r="G321">
        <v>531771</v>
      </c>
      <c r="H321" t="s">
        <v>17</v>
      </c>
      <c r="I321" t="s">
        <v>18</v>
      </c>
      <c r="J321">
        <v>16</v>
      </c>
      <c r="K321">
        <v>270214</v>
      </c>
      <c r="L321">
        <v>2023</v>
      </c>
    </row>
    <row r="322" spans="1:12" x14ac:dyDescent="0.35">
      <c r="A322">
        <v>321</v>
      </c>
      <c r="B322" s="1">
        <v>44523</v>
      </c>
      <c r="C322" t="s">
        <v>12</v>
      </c>
      <c r="D322" t="s">
        <v>29</v>
      </c>
      <c r="E322">
        <v>2.95</v>
      </c>
      <c r="F322">
        <v>2.76</v>
      </c>
      <c r="G322">
        <v>63617</v>
      </c>
      <c r="H322" t="s">
        <v>14</v>
      </c>
      <c r="I322" t="s">
        <v>18</v>
      </c>
      <c r="J322">
        <v>6</v>
      </c>
      <c r="K322">
        <v>79110</v>
      </c>
      <c r="L322">
        <v>2021</v>
      </c>
    </row>
    <row r="323" spans="1:12" x14ac:dyDescent="0.35">
      <c r="A323">
        <v>322</v>
      </c>
      <c r="B323" s="1">
        <v>45313</v>
      </c>
      <c r="C323" t="s">
        <v>12</v>
      </c>
      <c r="D323" t="s">
        <v>25</v>
      </c>
      <c r="E323">
        <v>0.82</v>
      </c>
      <c r="F323">
        <v>9.35</v>
      </c>
      <c r="G323">
        <v>801830</v>
      </c>
      <c r="H323" t="s">
        <v>22</v>
      </c>
      <c r="I323" t="s">
        <v>18</v>
      </c>
      <c r="J323">
        <v>1</v>
      </c>
      <c r="K323">
        <v>173157</v>
      </c>
      <c r="L323">
        <v>2024</v>
      </c>
    </row>
    <row r="324" spans="1:12" x14ac:dyDescent="0.35">
      <c r="A324">
        <v>323</v>
      </c>
      <c r="B324" s="1">
        <v>44066</v>
      </c>
      <c r="C324" t="s">
        <v>12</v>
      </c>
      <c r="D324" t="s">
        <v>25</v>
      </c>
      <c r="E324">
        <v>3.43</v>
      </c>
      <c r="F324">
        <v>9.1999999999999993</v>
      </c>
      <c r="G324">
        <v>581156</v>
      </c>
      <c r="H324" t="s">
        <v>17</v>
      </c>
      <c r="I324" t="s">
        <v>18</v>
      </c>
      <c r="J324">
        <v>24</v>
      </c>
      <c r="K324">
        <v>26765</v>
      </c>
      <c r="L324">
        <v>2020</v>
      </c>
    </row>
    <row r="325" spans="1:12" x14ac:dyDescent="0.35">
      <c r="A325">
        <v>324</v>
      </c>
      <c r="B325" s="1">
        <v>45244</v>
      </c>
      <c r="C325" t="s">
        <v>27</v>
      </c>
      <c r="D325" t="s">
        <v>19</v>
      </c>
      <c r="E325">
        <v>4.71</v>
      </c>
      <c r="F325">
        <v>8.65</v>
      </c>
      <c r="G325">
        <v>503838</v>
      </c>
      <c r="H325" t="s">
        <v>17</v>
      </c>
      <c r="I325" t="s">
        <v>15</v>
      </c>
      <c r="J325">
        <v>24</v>
      </c>
      <c r="K325">
        <v>132530</v>
      </c>
      <c r="L325">
        <v>2023</v>
      </c>
    </row>
    <row r="326" spans="1:12" x14ac:dyDescent="0.35">
      <c r="A326">
        <v>325</v>
      </c>
      <c r="B326" s="1">
        <v>45428</v>
      </c>
      <c r="C326" t="s">
        <v>28</v>
      </c>
      <c r="D326" t="s">
        <v>25</v>
      </c>
      <c r="E326">
        <v>0.24</v>
      </c>
      <c r="F326">
        <v>4.4800000000000004</v>
      </c>
      <c r="G326">
        <v>261244</v>
      </c>
      <c r="H326" t="s">
        <v>21</v>
      </c>
      <c r="I326" t="s">
        <v>15</v>
      </c>
      <c r="J326">
        <v>38</v>
      </c>
      <c r="K326">
        <v>29247</v>
      </c>
      <c r="L326">
        <v>2024</v>
      </c>
    </row>
    <row r="327" spans="1:12" x14ac:dyDescent="0.35">
      <c r="A327">
        <v>326</v>
      </c>
      <c r="B327" s="1">
        <v>45092</v>
      </c>
      <c r="C327" t="s">
        <v>24</v>
      </c>
      <c r="D327" t="s">
        <v>13</v>
      </c>
      <c r="E327">
        <v>1.63</v>
      </c>
      <c r="F327">
        <v>1.38</v>
      </c>
      <c r="G327">
        <v>88651</v>
      </c>
      <c r="H327" t="s">
        <v>26</v>
      </c>
      <c r="I327" t="s">
        <v>15</v>
      </c>
      <c r="J327">
        <v>24</v>
      </c>
      <c r="K327">
        <v>72411</v>
      </c>
      <c r="L327">
        <v>2023</v>
      </c>
    </row>
    <row r="328" spans="1:12" x14ac:dyDescent="0.35">
      <c r="A328">
        <v>327</v>
      </c>
      <c r="B328" s="1">
        <v>45609</v>
      </c>
      <c r="C328" t="s">
        <v>24</v>
      </c>
      <c r="D328" t="s">
        <v>23</v>
      </c>
      <c r="E328">
        <v>0.56000000000000005</v>
      </c>
      <c r="F328">
        <v>4.68</v>
      </c>
      <c r="G328">
        <v>496194</v>
      </c>
      <c r="H328" t="s">
        <v>21</v>
      </c>
      <c r="I328" t="s">
        <v>18</v>
      </c>
      <c r="J328">
        <v>24</v>
      </c>
      <c r="K328">
        <v>101158</v>
      </c>
      <c r="L328">
        <v>2024</v>
      </c>
    </row>
    <row r="329" spans="1:12" x14ac:dyDescent="0.35">
      <c r="A329">
        <v>328</v>
      </c>
      <c r="B329" s="1">
        <v>45137</v>
      </c>
      <c r="C329" t="s">
        <v>27</v>
      </c>
      <c r="D329" t="s">
        <v>29</v>
      </c>
      <c r="E329">
        <v>3.67</v>
      </c>
      <c r="F329">
        <v>7.07</v>
      </c>
      <c r="G329">
        <v>697142</v>
      </c>
      <c r="H329" t="s">
        <v>22</v>
      </c>
      <c r="I329" t="s">
        <v>15</v>
      </c>
      <c r="J329">
        <v>2</v>
      </c>
      <c r="K329">
        <v>262923</v>
      </c>
      <c r="L329">
        <v>2023</v>
      </c>
    </row>
    <row r="330" spans="1:12" x14ac:dyDescent="0.35">
      <c r="A330">
        <v>329</v>
      </c>
      <c r="B330" s="1">
        <v>43838</v>
      </c>
      <c r="C330" t="s">
        <v>30</v>
      </c>
      <c r="D330" t="s">
        <v>19</v>
      </c>
      <c r="E330">
        <v>1.29</v>
      </c>
      <c r="F330">
        <v>0.37</v>
      </c>
      <c r="G330">
        <v>96537</v>
      </c>
      <c r="H330" t="s">
        <v>14</v>
      </c>
      <c r="I330" t="s">
        <v>15</v>
      </c>
      <c r="J330">
        <v>36</v>
      </c>
      <c r="K330">
        <v>114457</v>
      </c>
      <c r="L330">
        <v>2020</v>
      </c>
    </row>
    <row r="331" spans="1:12" x14ac:dyDescent="0.35">
      <c r="A331">
        <v>330</v>
      </c>
      <c r="B331" s="1">
        <v>44197</v>
      </c>
      <c r="C331" t="s">
        <v>28</v>
      </c>
      <c r="D331" t="s">
        <v>13</v>
      </c>
      <c r="E331">
        <v>0.28999999999999998</v>
      </c>
      <c r="F331">
        <v>6.46</v>
      </c>
      <c r="G331">
        <v>115422</v>
      </c>
      <c r="H331" t="s">
        <v>22</v>
      </c>
      <c r="I331" t="s">
        <v>15</v>
      </c>
      <c r="J331">
        <v>5</v>
      </c>
      <c r="K331">
        <v>39709</v>
      </c>
      <c r="L331">
        <v>2021</v>
      </c>
    </row>
    <row r="332" spans="1:12" x14ac:dyDescent="0.35">
      <c r="A332">
        <v>331</v>
      </c>
      <c r="B332" s="1">
        <v>44133</v>
      </c>
      <c r="C332" t="s">
        <v>30</v>
      </c>
      <c r="D332" t="s">
        <v>19</v>
      </c>
      <c r="E332">
        <v>0.4</v>
      </c>
      <c r="F332">
        <v>7.76</v>
      </c>
      <c r="G332">
        <v>456040</v>
      </c>
      <c r="H332" t="s">
        <v>26</v>
      </c>
      <c r="I332" t="s">
        <v>18</v>
      </c>
      <c r="J332">
        <v>48</v>
      </c>
      <c r="K332">
        <v>246371</v>
      </c>
      <c r="L332">
        <v>2020</v>
      </c>
    </row>
    <row r="333" spans="1:12" x14ac:dyDescent="0.35">
      <c r="A333">
        <v>332</v>
      </c>
      <c r="B333" s="1">
        <v>44954</v>
      </c>
      <c r="C333" t="s">
        <v>16</v>
      </c>
      <c r="D333" t="s">
        <v>25</v>
      </c>
      <c r="E333">
        <v>1.35</v>
      </c>
      <c r="F333">
        <v>8.44</v>
      </c>
      <c r="G333">
        <v>875410</v>
      </c>
      <c r="H333" t="s">
        <v>26</v>
      </c>
      <c r="I333" t="s">
        <v>15</v>
      </c>
      <c r="J333">
        <v>28</v>
      </c>
      <c r="K333">
        <v>172983</v>
      </c>
      <c r="L333">
        <v>2023</v>
      </c>
    </row>
    <row r="334" spans="1:12" x14ac:dyDescent="0.35">
      <c r="A334">
        <v>333</v>
      </c>
      <c r="B334" s="1">
        <v>44925</v>
      </c>
      <c r="C334" t="s">
        <v>30</v>
      </c>
      <c r="D334" t="s">
        <v>19</v>
      </c>
      <c r="E334">
        <v>1.54</v>
      </c>
      <c r="F334">
        <v>8.41</v>
      </c>
      <c r="G334">
        <v>351484</v>
      </c>
      <c r="H334" t="s">
        <v>17</v>
      </c>
      <c r="I334" t="s">
        <v>18</v>
      </c>
      <c r="J334">
        <v>25</v>
      </c>
      <c r="K334">
        <v>194741</v>
      </c>
      <c r="L334">
        <v>2022</v>
      </c>
    </row>
    <row r="335" spans="1:12" x14ac:dyDescent="0.35">
      <c r="A335">
        <v>334</v>
      </c>
      <c r="B335" s="1">
        <v>45566</v>
      </c>
      <c r="C335" t="s">
        <v>16</v>
      </c>
      <c r="D335" t="s">
        <v>19</v>
      </c>
      <c r="E335">
        <v>0.45</v>
      </c>
      <c r="F335">
        <v>1.59</v>
      </c>
      <c r="G335">
        <v>886687</v>
      </c>
      <c r="H335" t="s">
        <v>22</v>
      </c>
      <c r="I335" t="s">
        <v>18</v>
      </c>
      <c r="J335">
        <v>19</v>
      </c>
      <c r="K335">
        <v>116841</v>
      </c>
      <c r="L335">
        <v>2024</v>
      </c>
    </row>
    <row r="336" spans="1:12" x14ac:dyDescent="0.35">
      <c r="A336">
        <v>335</v>
      </c>
      <c r="B336" s="1">
        <v>44023</v>
      </c>
      <c r="C336" t="s">
        <v>20</v>
      </c>
      <c r="D336" t="s">
        <v>25</v>
      </c>
      <c r="E336">
        <v>4.2300000000000004</v>
      </c>
      <c r="F336">
        <v>6.13</v>
      </c>
      <c r="G336">
        <v>372915</v>
      </c>
      <c r="H336" t="s">
        <v>17</v>
      </c>
      <c r="I336" t="s">
        <v>15</v>
      </c>
      <c r="J336">
        <v>3</v>
      </c>
      <c r="K336">
        <v>295251</v>
      </c>
      <c r="L336">
        <v>2020</v>
      </c>
    </row>
    <row r="337" spans="1:12" x14ac:dyDescent="0.35">
      <c r="A337">
        <v>336</v>
      </c>
      <c r="B337" s="1">
        <v>44041</v>
      </c>
      <c r="C337" t="s">
        <v>24</v>
      </c>
      <c r="D337" t="s">
        <v>19</v>
      </c>
      <c r="E337">
        <v>4.9000000000000004</v>
      </c>
      <c r="F337">
        <v>8.7899999999999991</v>
      </c>
      <c r="G337">
        <v>420462</v>
      </c>
      <c r="H337" t="s">
        <v>26</v>
      </c>
      <c r="I337" t="s">
        <v>15</v>
      </c>
      <c r="J337">
        <v>47</v>
      </c>
      <c r="K337">
        <v>228248</v>
      </c>
      <c r="L337">
        <v>2020</v>
      </c>
    </row>
    <row r="338" spans="1:12" x14ac:dyDescent="0.35">
      <c r="A338">
        <v>337</v>
      </c>
      <c r="B338" s="1">
        <v>45407</v>
      </c>
      <c r="C338" t="s">
        <v>24</v>
      </c>
      <c r="D338" t="s">
        <v>25</v>
      </c>
      <c r="E338">
        <v>0.78</v>
      </c>
      <c r="F338">
        <v>5.69</v>
      </c>
      <c r="G338">
        <v>101638</v>
      </c>
      <c r="H338" t="s">
        <v>14</v>
      </c>
      <c r="I338" t="s">
        <v>18</v>
      </c>
      <c r="J338">
        <v>36</v>
      </c>
      <c r="K338">
        <v>225548</v>
      </c>
      <c r="L338">
        <v>2024</v>
      </c>
    </row>
    <row r="339" spans="1:12" x14ac:dyDescent="0.35">
      <c r="A339">
        <v>338</v>
      </c>
      <c r="B339" s="1">
        <v>45090</v>
      </c>
      <c r="C339" t="s">
        <v>24</v>
      </c>
      <c r="D339" t="s">
        <v>19</v>
      </c>
      <c r="E339">
        <v>0.66</v>
      </c>
      <c r="F339">
        <v>9.49</v>
      </c>
      <c r="G339">
        <v>843834</v>
      </c>
      <c r="H339" t="s">
        <v>14</v>
      </c>
      <c r="I339" t="s">
        <v>15</v>
      </c>
      <c r="J339">
        <v>14</v>
      </c>
      <c r="K339">
        <v>268356</v>
      </c>
      <c r="L339">
        <v>2023</v>
      </c>
    </row>
    <row r="340" spans="1:12" x14ac:dyDescent="0.35">
      <c r="A340">
        <v>339</v>
      </c>
      <c r="B340" s="1">
        <v>44075</v>
      </c>
      <c r="C340" t="s">
        <v>24</v>
      </c>
      <c r="D340" t="s">
        <v>25</v>
      </c>
      <c r="E340">
        <v>2.1</v>
      </c>
      <c r="F340">
        <v>2.23</v>
      </c>
      <c r="G340">
        <v>692340</v>
      </c>
      <c r="H340" t="s">
        <v>21</v>
      </c>
      <c r="I340" t="s">
        <v>15</v>
      </c>
      <c r="J340">
        <v>36</v>
      </c>
      <c r="K340">
        <v>204856</v>
      </c>
      <c r="L340">
        <v>2020</v>
      </c>
    </row>
    <row r="341" spans="1:12" x14ac:dyDescent="0.35">
      <c r="A341">
        <v>340</v>
      </c>
      <c r="B341" s="1">
        <v>45285</v>
      </c>
      <c r="C341" t="s">
        <v>30</v>
      </c>
      <c r="D341" t="s">
        <v>19</v>
      </c>
      <c r="E341">
        <v>0.46</v>
      </c>
      <c r="F341">
        <v>5.54</v>
      </c>
      <c r="G341">
        <v>238400</v>
      </c>
      <c r="H341" t="s">
        <v>26</v>
      </c>
      <c r="I341" t="s">
        <v>18</v>
      </c>
      <c r="J341">
        <v>50</v>
      </c>
      <c r="K341">
        <v>89005</v>
      </c>
      <c r="L341">
        <v>2023</v>
      </c>
    </row>
    <row r="342" spans="1:12" x14ac:dyDescent="0.35">
      <c r="A342">
        <v>341</v>
      </c>
      <c r="B342" s="1">
        <v>45238</v>
      </c>
      <c r="C342" t="s">
        <v>12</v>
      </c>
      <c r="D342" t="s">
        <v>23</v>
      </c>
      <c r="E342">
        <v>0.65</v>
      </c>
      <c r="F342">
        <v>2.83</v>
      </c>
      <c r="G342">
        <v>445394</v>
      </c>
      <c r="H342" t="s">
        <v>17</v>
      </c>
      <c r="I342" t="s">
        <v>18</v>
      </c>
      <c r="J342">
        <v>42</v>
      </c>
      <c r="K342">
        <v>221536</v>
      </c>
      <c r="L342">
        <v>2023</v>
      </c>
    </row>
    <row r="343" spans="1:12" x14ac:dyDescent="0.35">
      <c r="A343">
        <v>342</v>
      </c>
      <c r="B343" s="1">
        <v>45583</v>
      </c>
      <c r="C343" t="s">
        <v>27</v>
      </c>
      <c r="D343" t="s">
        <v>13</v>
      </c>
      <c r="E343">
        <v>1.88</v>
      </c>
      <c r="F343">
        <v>2.5099999999999998</v>
      </c>
      <c r="G343">
        <v>699965</v>
      </c>
      <c r="H343" t="s">
        <v>14</v>
      </c>
      <c r="I343" t="s">
        <v>15</v>
      </c>
      <c r="J343">
        <v>23</v>
      </c>
      <c r="K343">
        <v>176243</v>
      </c>
      <c r="L343">
        <v>2024</v>
      </c>
    </row>
    <row r="344" spans="1:12" x14ac:dyDescent="0.35">
      <c r="A344">
        <v>343</v>
      </c>
      <c r="B344" s="1">
        <v>45649</v>
      </c>
      <c r="C344" t="s">
        <v>12</v>
      </c>
      <c r="D344" t="s">
        <v>25</v>
      </c>
      <c r="E344">
        <v>0.36</v>
      </c>
      <c r="F344">
        <v>9.57</v>
      </c>
      <c r="G344">
        <v>950514</v>
      </c>
      <c r="H344" t="s">
        <v>22</v>
      </c>
      <c r="I344" t="s">
        <v>18</v>
      </c>
      <c r="J344">
        <v>42</v>
      </c>
      <c r="K344">
        <v>151839</v>
      </c>
      <c r="L344">
        <v>2024</v>
      </c>
    </row>
    <row r="345" spans="1:12" x14ac:dyDescent="0.35">
      <c r="A345">
        <v>344</v>
      </c>
      <c r="B345" s="1">
        <v>44534</v>
      </c>
      <c r="C345" t="s">
        <v>16</v>
      </c>
      <c r="D345" t="s">
        <v>13</v>
      </c>
      <c r="E345">
        <v>2.12</v>
      </c>
      <c r="F345">
        <v>3.47</v>
      </c>
      <c r="G345">
        <v>339930</v>
      </c>
      <c r="H345" t="s">
        <v>17</v>
      </c>
      <c r="I345" t="s">
        <v>18</v>
      </c>
      <c r="J345">
        <v>48</v>
      </c>
      <c r="K345">
        <v>277145</v>
      </c>
      <c r="L345">
        <v>2021</v>
      </c>
    </row>
    <row r="346" spans="1:12" x14ac:dyDescent="0.35">
      <c r="A346">
        <v>345</v>
      </c>
      <c r="B346" s="1">
        <v>44062</v>
      </c>
      <c r="C346" t="s">
        <v>30</v>
      </c>
      <c r="D346" t="s">
        <v>29</v>
      </c>
      <c r="E346">
        <v>1</v>
      </c>
      <c r="F346">
        <v>4.21</v>
      </c>
      <c r="G346">
        <v>449089</v>
      </c>
      <c r="H346" t="s">
        <v>14</v>
      </c>
      <c r="I346" t="s">
        <v>18</v>
      </c>
      <c r="J346">
        <v>19</v>
      </c>
      <c r="K346">
        <v>115218</v>
      </c>
      <c r="L346">
        <v>2020</v>
      </c>
    </row>
    <row r="347" spans="1:12" x14ac:dyDescent="0.35">
      <c r="A347">
        <v>346</v>
      </c>
      <c r="B347" s="1">
        <v>44424</v>
      </c>
      <c r="C347" t="s">
        <v>12</v>
      </c>
      <c r="D347" t="s">
        <v>19</v>
      </c>
      <c r="E347">
        <v>3.13</v>
      </c>
      <c r="F347">
        <v>2.4500000000000002</v>
      </c>
      <c r="G347">
        <v>73564</v>
      </c>
      <c r="H347" t="s">
        <v>14</v>
      </c>
      <c r="I347" t="s">
        <v>15</v>
      </c>
      <c r="J347">
        <v>44</v>
      </c>
      <c r="K347">
        <v>50454</v>
      </c>
      <c r="L347">
        <v>2021</v>
      </c>
    </row>
    <row r="348" spans="1:12" x14ac:dyDescent="0.35">
      <c r="A348">
        <v>347</v>
      </c>
      <c r="B348" s="1">
        <v>44068</v>
      </c>
      <c r="C348" t="s">
        <v>24</v>
      </c>
      <c r="D348" t="s">
        <v>25</v>
      </c>
      <c r="E348">
        <v>0.24</v>
      </c>
      <c r="F348">
        <v>0.53</v>
      </c>
      <c r="G348">
        <v>867856</v>
      </c>
      <c r="H348" t="s">
        <v>17</v>
      </c>
      <c r="I348" t="s">
        <v>15</v>
      </c>
      <c r="J348">
        <v>48</v>
      </c>
      <c r="K348">
        <v>55532</v>
      </c>
      <c r="L348">
        <v>2020</v>
      </c>
    </row>
    <row r="349" spans="1:12" x14ac:dyDescent="0.35">
      <c r="A349">
        <v>348</v>
      </c>
      <c r="B349" s="1">
        <v>44054</v>
      </c>
      <c r="C349" t="s">
        <v>27</v>
      </c>
      <c r="D349" t="s">
        <v>13</v>
      </c>
      <c r="E349">
        <v>3.53</v>
      </c>
      <c r="F349">
        <v>7.5</v>
      </c>
      <c r="G349">
        <v>322014</v>
      </c>
      <c r="H349" t="s">
        <v>17</v>
      </c>
      <c r="I349" t="s">
        <v>15</v>
      </c>
      <c r="J349">
        <v>39</v>
      </c>
      <c r="K349">
        <v>208859</v>
      </c>
      <c r="L349">
        <v>2020</v>
      </c>
    </row>
    <row r="350" spans="1:12" x14ac:dyDescent="0.35">
      <c r="A350">
        <v>349</v>
      </c>
      <c r="B350" s="1">
        <v>44457</v>
      </c>
      <c r="C350" t="s">
        <v>20</v>
      </c>
      <c r="D350" t="s">
        <v>19</v>
      </c>
      <c r="E350">
        <v>2.11</v>
      </c>
      <c r="F350">
        <v>0.99</v>
      </c>
      <c r="G350">
        <v>570101</v>
      </c>
      <c r="H350" t="s">
        <v>14</v>
      </c>
      <c r="I350" t="s">
        <v>15</v>
      </c>
      <c r="J350">
        <v>6</v>
      </c>
      <c r="K350">
        <v>72249</v>
      </c>
      <c r="L350">
        <v>2021</v>
      </c>
    </row>
    <row r="351" spans="1:12" x14ac:dyDescent="0.35">
      <c r="A351">
        <v>350</v>
      </c>
      <c r="B351" s="1">
        <v>45378</v>
      </c>
      <c r="C351" t="s">
        <v>20</v>
      </c>
      <c r="D351" t="s">
        <v>29</v>
      </c>
      <c r="E351">
        <v>4.09</v>
      </c>
      <c r="F351">
        <v>6.41</v>
      </c>
      <c r="G351">
        <v>636080</v>
      </c>
      <c r="H351" t="s">
        <v>14</v>
      </c>
      <c r="I351" t="s">
        <v>15</v>
      </c>
      <c r="J351">
        <v>24</v>
      </c>
      <c r="K351">
        <v>125739</v>
      </c>
      <c r="L351">
        <v>2024</v>
      </c>
    </row>
    <row r="352" spans="1:12" x14ac:dyDescent="0.35">
      <c r="A352">
        <v>351</v>
      </c>
      <c r="B352" s="1">
        <v>45043</v>
      </c>
      <c r="C352" t="s">
        <v>16</v>
      </c>
      <c r="D352" t="s">
        <v>13</v>
      </c>
      <c r="E352">
        <v>1.82</v>
      </c>
      <c r="F352">
        <v>3.39</v>
      </c>
      <c r="G352">
        <v>869315</v>
      </c>
      <c r="H352" t="s">
        <v>22</v>
      </c>
      <c r="I352" t="s">
        <v>15</v>
      </c>
      <c r="J352">
        <v>1</v>
      </c>
      <c r="K352">
        <v>85472</v>
      </c>
      <c r="L352">
        <v>2023</v>
      </c>
    </row>
    <row r="353" spans="1:12" x14ac:dyDescent="0.35">
      <c r="A353">
        <v>352</v>
      </c>
      <c r="B353" s="1">
        <v>43876</v>
      </c>
      <c r="C353" t="s">
        <v>12</v>
      </c>
      <c r="D353" t="s">
        <v>25</v>
      </c>
      <c r="E353">
        <v>1.75</v>
      </c>
      <c r="F353">
        <v>1.05</v>
      </c>
      <c r="G353">
        <v>447735</v>
      </c>
      <c r="H353" t="s">
        <v>14</v>
      </c>
      <c r="I353" t="s">
        <v>18</v>
      </c>
      <c r="J353">
        <v>37</v>
      </c>
      <c r="K353">
        <v>71766</v>
      </c>
      <c r="L353">
        <v>2020</v>
      </c>
    </row>
    <row r="354" spans="1:12" x14ac:dyDescent="0.35">
      <c r="A354">
        <v>353</v>
      </c>
      <c r="B354" s="1">
        <v>44217</v>
      </c>
      <c r="C354" t="s">
        <v>30</v>
      </c>
      <c r="D354" t="s">
        <v>13</v>
      </c>
      <c r="E354">
        <v>1.95</v>
      </c>
      <c r="F354">
        <v>8.58</v>
      </c>
      <c r="G354">
        <v>951782</v>
      </c>
      <c r="H354" t="s">
        <v>21</v>
      </c>
      <c r="I354" t="s">
        <v>18</v>
      </c>
      <c r="J354">
        <v>47</v>
      </c>
      <c r="K354">
        <v>57476</v>
      </c>
      <c r="L354">
        <v>2021</v>
      </c>
    </row>
    <row r="355" spans="1:12" x14ac:dyDescent="0.35">
      <c r="A355">
        <v>354</v>
      </c>
      <c r="B355" s="1">
        <v>45594</v>
      </c>
      <c r="C355" t="s">
        <v>20</v>
      </c>
      <c r="D355" t="s">
        <v>13</v>
      </c>
      <c r="E355">
        <v>3.59</v>
      </c>
      <c r="F355">
        <v>8.4499999999999993</v>
      </c>
      <c r="G355">
        <v>940526</v>
      </c>
      <c r="H355" t="s">
        <v>22</v>
      </c>
      <c r="I355" t="s">
        <v>15</v>
      </c>
      <c r="J355">
        <v>26</v>
      </c>
      <c r="K355">
        <v>48732</v>
      </c>
      <c r="L355">
        <v>2024</v>
      </c>
    </row>
    <row r="356" spans="1:12" x14ac:dyDescent="0.35">
      <c r="A356">
        <v>355</v>
      </c>
      <c r="B356" s="1">
        <v>44293</v>
      </c>
      <c r="C356" t="s">
        <v>27</v>
      </c>
      <c r="D356" t="s">
        <v>29</v>
      </c>
      <c r="E356">
        <v>0.37</v>
      </c>
      <c r="F356">
        <v>4.2699999999999996</v>
      </c>
      <c r="G356">
        <v>795521</v>
      </c>
      <c r="H356" t="s">
        <v>21</v>
      </c>
      <c r="I356" t="s">
        <v>15</v>
      </c>
      <c r="J356">
        <v>35</v>
      </c>
      <c r="K356">
        <v>37626</v>
      </c>
      <c r="L356">
        <v>2021</v>
      </c>
    </row>
    <row r="357" spans="1:12" x14ac:dyDescent="0.35">
      <c r="A357">
        <v>356</v>
      </c>
      <c r="B357" s="1">
        <v>43956</v>
      </c>
      <c r="C357" t="s">
        <v>30</v>
      </c>
      <c r="D357" t="s">
        <v>29</v>
      </c>
      <c r="E357">
        <v>4.8099999999999996</v>
      </c>
      <c r="F357">
        <v>3.59</v>
      </c>
      <c r="G357">
        <v>956232</v>
      </c>
      <c r="H357" t="s">
        <v>14</v>
      </c>
      <c r="I357" t="s">
        <v>15</v>
      </c>
      <c r="J357">
        <v>29</v>
      </c>
      <c r="K357">
        <v>289489</v>
      </c>
      <c r="L357">
        <v>2020</v>
      </c>
    </row>
    <row r="358" spans="1:12" x14ac:dyDescent="0.35">
      <c r="A358">
        <v>357</v>
      </c>
      <c r="B358" s="1">
        <v>44659</v>
      </c>
      <c r="C358" t="s">
        <v>12</v>
      </c>
      <c r="D358" t="s">
        <v>29</v>
      </c>
      <c r="E358">
        <v>1.51</v>
      </c>
      <c r="F358">
        <v>3.04</v>
      </c>
      <c r="G358">
        <v>965981</v>
      </c>
      <c r="H358" t="s">
        <v>21</v>
      </c>
      <c r="I358" t="s">
        <v>15</v>
      </c>
      <c r="J358">
        <v>13</v>
      </c>
      <c r="K358">
        <v>204465</v>
      </c>
      <c r="L358">
        <v>2022</v>
      </c>
    </row>
    <row r="359" spans="1:12" x14ac:dyDescent="0.35">
      <c r="A359">
        <v>358</v>
      </c>
      <c r="B359" s="1">
        <v>44182</v>
      </c>
      <c r="C359" t="s">
        <v>12</v>
      </c>
      <c r="D359" t="s">
        <v>23</v>
      </c>
      <c r="E359">
        <v>0.43</v>
      </c>
      <c r="F359">
        <v>4.34</v>
      </c>
      <c r="G359">
        <v>603530</v>
      </c>
      <c r="H359" t="s">
        <v>14</v>
      </c>
      <c r="I359" t="s">
        <v>18</v>
      </c>
      <c r="J359">
        <v>32</v>
      </c>
      <c r="K359">
        <v>211672</v>
      </c>
      <c r="L359">
        <v>2020</v>
      </c>
    </row>
    <row r="360" spans="1:12" x14ac:dyDescent="0.35">
      <c r="A360">
        <v>359</v>
      </c>
      <c r="B360" s="1">
        <v>44515</v>
      </c>
      <c r="C360" t="s">
        <v>12</v>
      </c>
      <c r="D360" t="s">
        <v>13</v>
      </c>
      <c r="E360">
        <v>1.29</v>
      </c>
      <c r="F360">
        <v>1.05</v>
      </c>
      <c r="G360">
        <v>352624</v>
      </c>
      <c r="H360" t="s">
        <v>17</v>
      </c>
      <c r="I360" t="s">
        <v>18</v>
      </c>
      <c r="J360">
        <v>27</v>
      </c>
      <c r="K360">
        <v>165544</v>
      </c>
      <c r="L360">
        <v>2021</v>
      </c>
    </row>
    <row r="361" spans="1:12" x14ac:dyDescent="0.35">
      <c r="A361">
        <v>360</v>
      </c>
      <c r="B361" s="1">
        <v>45508</v>
      </c>
      <c r="C361" t="s">
        <v>28</v>
      </c>
      <c r="D361" t="s">
        <v>29</v>
      </c>
      <c r="E361">
        <v>1.97</v>
      </c>
      <c r="F361">
        <v>9.99</v>
      </c>
      <c r="G361">
        <v>472012</v>
      </c>
      <c r="H361" t="s">
        <v>26</v>
      </c>
      <c r="I361" t="s">
        <v>18</v>
      </c>
      <c r="J361">
        <v>39</v>
      </c>
      <c r="K361">
        <v>294335</v>
      </c>
      <c r="L361">
        <v>2024</v>
      </c>
    </row>
    <row r="362" spans="1:12" x14ac:dyDescent="0.35">
      <c r="A362">
        <v>361</v>
      </c>
      <c r="B362" s="1">
        <v>44243</v>
      </c>
      <c r="C362" t="s">
        <v>30</v>
      </c>
      <c r="D362" t="s">
        <v>29</v>
      </c>
      <c r="E362">
        <v>1.48</v>
      </c>
      <c r="F362">
        <v>2.42</v>
      </c>
      <c r="G362">
        <v>473077</v>
      </c>
      <c r="H362" t="s">
        <v>26</v>
      </c>
      <c r="I362" t="s">
        <v>18</v>
      </c>
      <c r="J362">
        <v>19</v>
      </c>
      <c r="K362">
        <v>10259</v>
      </c>
      <c r="L362">
        <v>2021</v>
      </c>
    </row>
    <row r="363" spans="1:12" x14ac:dyDescent="0.35">
      <c r="A363">
        <v>362</v>
      </c>
      <c r="B363" s="1">
        <v>45511</v>
      </c>
      <c r="C363" t="s">
        <v>27</v>
      </c>
      <c r="D363" t="s">
        <v>13</v>
      </c>
      <c r="E363">
        <v>3.07</v>
      </c>
      <c r="F363">
        <v>9.41</v>
      </c>
      <c r="G363">
        <v>466161</v>
      </c>
      <c r="H363" t="s">
        <v>17</v>
      </c>
      <c r="I363" t="s">
        <v>18</v>
      </c>
      <c r="J363">
        <v>48</v>
      </c>
      <c r="K363">
        <v>26412</v>
      </c>
      <c r="L363">
        <v>2024</v>
      </c>
    </row>
    <row r="364" spans="1:12" x14ac:dyDescent="0.35">
      <c r="A364">
        <v>363</v>
      </c>
      <c r="B364" s="1">
        <v>44093</v>
      </c>
      <c r="C364" t="s">
        <v>27</v>
      </c>
      <c r="D364" t="s">
        <v>25</v>
      </c>
      <c r="E364">
        <v>0.89</v>
      </c>
      <c r="F364">
        <v>6.79</v>
      </c>
      <c r="G364">
        <v>392685</v>
      </c>
      <c r="H364" t="s">
        <v>17</v>
      </c>
      <c r="I364" t="s">
        <v>18</v>
      </c>
      <c r="J364">
        <v>29</v>
      </c>
      <c r="K364">
        <v>44642</v>
      </c>
      <c r="L364">
        <v>2020</v>
      </c>
    </row>
    <row r="365" spans="1:12" x14ac:dyDescent="0.35">
      <c r="A365">
        <v>364</v>
      </c>
      <c r="B365" s="1">
        <v>45475</v>
      </c>
      <c r="C365" t="s">
        <v>20</v>
      </c>
      <c r="D365" t="s">
        <v>13</v>
      </c>
      <c r="E365">
        <v>0.37</v>
      </c>
      <c r="F365">
        <v>2.57</v>
      </c>
      <c r="G365">
        <v>809320</v>
      </c>
      <c r="H365" t="s">
        <v>17</v>
      </c>
      <c r="I365" t="s">
        <v>15</v>
      </c>
      <c r="J365">
        <v>43</v>
      </c>
      <c r="K365">
        <v>112189</v>
      </c>
      <c r="L365">
        <v>2024</v>
      </c>
    </row>
    <row r="366" spans="1:12" x14ac:dyDescent="0.35">
      <c r="A366">
        <v>365</v>
      </c>
      <c r="B366" s="1">
        <v>45053</v>
      </c>
      <c r="C366" t="s">
        <v>28</v>
      </c>
      <c r="D366" t="s">
        <v>23</v>
      </c>
      <c r="E366">
        <v>1.85</v>
      </c>
      <c r="F366">
        <v>7.37</v>
      </c>
      <c r="G366">
        <v>236225</v>
      </c>
      <c r="H366" t="s">
        <v>21</v>
      </c>
      <c r="I366" t="s">
        <v>18</v>
      </c>
      <c r="J366">
        <v>33</v>
      </c>
      <c r="K366">
        <v>231580</v>
      </c>
      <c r="L366">
        <v>2023</v>
      </c>
    </row>
    <row r="367" spans="1:12" x14ac:dyDescent="0.35">
      <c r="A367">
        <v>366</v>
      </c>
      <c r="B367" s="1">
        <v>44372</v>
      </c>
      <c r="C367" t="s">
        <v>20</v>
      </c>
      <c r="D367" t="s">
        <v>19</v>
      </c>
      <c r="E367">
        <v>3.45</v>
      </c>
      <c r="F367">
        <v>7.57</v>
      </c>
      <c r="G367">
        <v>260817</v>
      </c>
      <c r="H367" t="s">
        <v>22</v>
      </c>
      <c r="I367" t="s">
        <v>18</v>
      </c>
      <c r="J367">
        <v>44</v>
      </c>
      <c r="K367">
        <v>224910</v>
      </c>
      <c r="L367">
        <v>2021</v>
      </c>
    </row>
    <row r="368" spans="1:12" x14ac:dyDescent="0.35">
      <c r="A368">
        <v>367</v>
      </c>
      <c r="B368" s="1">
        <v>44837</v>
      </c>
      <c r="C368" t="s">
        <v>24</v>
      </c>
      <c r="D368" t="s">
        <v>19</v>
      </c>
      <c r="E368">
        <v>3.09</v>
      </c>
      <c r="F368">
        <v>4.17</v>
      </c>
      <c r="G368">
        <v>414545</v>
      </c>
      <c r="H368" t="s">
        <v>14</v>
      </c>
      <c r="I368" t="s">
        <v>15</v>
      </c>
      <c r="J368">
        <v>12</v>
      </c>
      <c r="K368">
        <v>21599</v>
      </c>
      <c r="L368">
        <v>2022</v>
      </c>
    </row>
    <row r="369" spans="1:12" x14ac:dyDescent="0.35">
      <c r="A369">
        <v>368</v>
      </c>
      <c r="B369" s="1">
        <v>45275</v>
      </c>
      <c r="C369" t="s">
        <v>27</v>
      </c>
      <c r="D369" t="s">
        <v>23</v>
      </c>
      <c r="E369">
        <v>0.92</v>
      </c>
      <c r="F369">
        <v>7.89</v>
      </c>
      <c r="G369">
        <v>285477</v>
      </c>
      <c r="H369" t="s">
        <v>17</v>
      </c>
      <c r="I369" t="s">
        <v>18</v>
      </c>
      <c r="J369">
        <v>10</v>
      </c>
      <c r="K369">
        <v>267014</v>
      </c>
      <c r="L369">
        <v>2023</v>
      </c>
    </row>
    <row r="370" spans="1:12" x14ac:dyDescent="0.35">
      <c r="A370">
        <v>369</v>
      </c>
      <c r="B370" s="1">
        <v>44445</v>
      </c>
      <c r="C370" t="s">
        <v>24</v>
      </c>
      <c r="D370" t="s">
        <v>25</v>
      </c>
      <c r="E370">
        <v>2.57</v>
      </c>
      <c r="F370">
        <v>4.72</v>
      </c>
      <c r="G370">
        <v>853588</v>
      </c>
      <c r="H370" t="s">
        <v>21</v>
      </c>
      <c r="I370" t="s">
        <v>15</v>
      </c>
      <c r="J370">
        <v>13</v>
      </c>
      <c r="K370">
        <v>293029</v>
      </c>
      <c r="L370">
        <v>2021</v>
      </c>
    </row>
    <row r="371" spans="1:12" x14ac:dyDescent="0.35">
      <c r="A371">
        <v>370</v>
      </c>
      <c r="B371" s="1">
        <v>45135</v>
      </c>
      <c r="C371" t="s">
        <v>30</v>
      </c>
      <c r="D371" t="s">
        <v>29</v>
      </c>
      <c r="E371">
        <v>1.45</v>
      </c>
      <c r="F371">
        <v>3.82</v>
      </c>
      <c r="G371">
        <v>200822</v>
      </c>
      <c r="H371" t="s">
        <v>17</v>
      </c>
      <c r="I371" t="s">
        <v>18</v>
      </c>
      <c r="J371">
        <v>24</v>
      </c>
      <c r="K371">
        <v>266245</v>
      </c>
      <c r="L371">
        <v>2023</v>
      </c>
    </row>
    <row r="372" spans="1:12" x14ac:dyDescent="0.35">
      <c r="A372">
        <v>371</v>
      </c>
      <c r="B372" s="1">
        <v>44734</v>
      </c>
      <c r="C372" t="s">
        <v>30</v>
      </c>
      <c r="D372" t="s">
        <v>25</v>
      </c>
      <c r="E372">
        <v>1.22</v>
      </c>
      <c r="F372">
        <v>4.0999999999999996</v>
      </c>
      <c r="G372">
        <v>320893</v>
      </c>
      <c r="H372" t="s">
        <v>14</v>
      </c>
      <c r="I372" t="s">
        <v>18</v>
      </c>
      <c r="J372">
        <v>46</v>
      </c>
      <c r="K372">
        <v>81317</v>
      </c>
      <c r="L372">
        <v>2022</v>
      </c>
    </row>
    <row r="373" spans="1:12" x14ac:dyDescent="0.35">
      <c r="A373">
        <v>372</v>
      </c>
      <c r="B373" s="1">
        <v>45183</v>
      </c>
      <c r="C373" t="s">
        <v>20</v>
      </c>
      <c r="D373" t="s">
        <v>29</v>
      </c>
      <c r="E373">
        <v>3.79</v>
      </c>
      <c r="F373">
        <v>5.61</v>
      </c>
      <c r="G373">
        <v>382177</v>
      </c>
      <c r="H373" t="s">
        <v>21</v>
      </c>
      <c r="I373" t="s">
        <v>15</v>
      </c>
      <c r="J373">
        <v>50</v>
      </c>
      <c r="K373">
        <v>225659</v>
      </c>
      <c r="L373">
        <v>2023</v>
      </c>
    </row>
    <row r="374" spans="1:12" x14ac:dyDescent="0.35">
      <c r="A374">
        <v>373</v>
      </c>
      <c r="B374" s="1">
        <v>43842</v>
      </c>
      <c r="C374" t="s">
        <v>12</v>
      </c>
      <c r="D374" t="s">
        <v>23</v>
      </c>
      <c r="E374">
        <v>0.24</v>
      </c>
      <c r="F374">
        <v>5.99</v>
      </c>
      <c r="G374">
        <v>635692</v>
      </c>
      <c r="H374" t="s">
        <v>26</v>
      </c>
      <c r="I374" t="s">
        <v>15</v>
      </c>
      <c r="J374">
        <v>24</v>
      </c>
      <c r="K374">
        <v>238018</v>
      </c>
      <c r="L374">
        <v>2020</v>
      </c>
    </row>
    <row r="375" spans="1:12" x14ac:dyDescent="0.35">
      <c r="A375">
        <v>374</v>
      </c>
      <c r="B375" s="1">
        <v>45577</v>
      </c>
      <c r="C375" t="s">
        <v>27</v>
      </c>
      <c r="D375" t="s">
        <v>19</v>
      </c>
      <c r="E375">
        <v>4.67</v>
      </c>
      <c r="F375">
        <v>5.8</v>
      </c>
      <c r="G375">
        <v>668258</v>
      </c>
      <c r="H375" t="s">
        <v>26</v>
      </c>
      <c r="I375" t="s">
        <v>18</v>
      </c>
      <c r="J375">
        <v>43</v>
      </c>
      <c r="K375">
        <v>21502</v>
      </c>
      <c r="L375">
        <v>2024</v>
      </c>
    </row>
    <row r="376" spans="1:12" x14ac:dyDescent="0.35">
      <c r="A376">
        <v>375</v>
      </c>
      <c r="B376" s="1">
        <v>45081</v>
      </c>
      <c r="C376" t="s">
        <v>28</v>
      </c>
      <c r="D376" t="s">
        <v>25</v>
      </c>
      <c r="E376">
        <v>4.82</v>
      </c>
      <c r="F376">
        <v>5.99</v>
      </c>
      <c r="G376">
        <v>477304</v>
      </c>
      <c r="H376" t="s">
        <v>14</v>
      </c>
      <c r="I376" t="s">
        <v>18</v>
      </c>
      <c r="J376">
        <v>41</v>
      </c>
      <c r="K376">
        <v>255392</v>
      </c>
      <c r="L376">
        <v>2023</v>
      </c>
    </row>
    <row r="377" spans="1:12" x14ac:dyDescent="0.35">
      <c r="A377">
        <v>376</v>
      </c>
      <c r="B377" s="1">
        <v>44541</v>
      </c>
      <c r="C377" t="s">
        <v>27</v>
      </c>
      <c r="D377" t="s">
        <v>23</v>
      </c>
      <c r="E377">
        <v>1.75</v>
      </c>
      <c r="F377">
        <v>3.12</v>
      </c>
      <c r="G377">
        <v>235713</v>
      </c>
      <c r="H377" t="s">
        <v>22</v>
      </c>
      <c r="I377" t="s">
        <v>15</v>
      </c>
      <c r="J377">
        <v>3</v>
      </c>
      <c r="K377">
        <v>111801</v>
      </c>
      <c r="L377">
        <v>2021</v>
      </c>
    </row>
    <row r="378" spans="1:12" x14ac:dyDescent="0.35">
      <c r="A378">
        <v>377</v>
      </c>
      <c r="B378" s="1">
        <v>44219</v>
      </c>
      <c r="C378" t="s">
        <v>28</v>
      </c>
      <c r="D378" t="s">
        <v>23</v>
      </c>
      <c r="E378">
        <v>4.0199999999999996</v>
      </c>
      <c r="F378">
        <v>6.35</v>
      </c>
      <c r="G378">
        <v>940790</v>
      </c>
      <c r="H378" t="s">
        <v>21</v>
      </c>
      <c r="I378" t="s">
        <v>18</v>
      </c>
      <c r="J378">
        <v>3</v>
      </c>
      <c r="K378">
        <v>45479</v>
      </c>
      <c r="L378">
        <v>2021</v>
      </c>
    </row>
    <row r="379" spans="1:12" x14ac:dyDescent="0.35">
      <c r="A379">
        <v>378</v>
      </c>
      <c r="B379" s="1">
        <v>45431</v>
      </c>
      <c r="C379" t="s">
        <v>24</v>
      </c>
      <c r="D379" t="s">
        <v>13</v>
      </c>
      <c r="E379">
        <v>4.5</v>
      </c>
      <c r="F379">
        <v>3.21</v>
      </c>
      <c r="G379">
        <v>871612</v>
      </c>
      <c r="H379" t="s">
        <v>17</v>
      </c>
      <c r="I379" t="s">
        <v>15</v>
      </c>
      <c r="J379">
        <v>6</v>
      </c>
      <c r="K379">
        <v>17397</v>
      </c>
      <c r="L379">
        <v>2024</v>
      </c>
    </row>
    <row r="380" spans="1:12" x14ac:dyDescent="0.35">
      <c r="A380">
        <v>379</v>
      </c>
      <c r="B380" s="1">
        <v>44031</v>
      </c>
      <c r="C380" t="s">
        <v>28</v>
      </c>
      <c r="D380" t="s">
        <v>25</v>
      </c>
      <c r="E380">
        <v>2.0299999999999998</v>
      </c>
      <c r="F380">
        <v>1.23</v>
      </c>
      <c r="G380">
        <v>307674</v>
      </c>
      <c r="H380" t="s">
        <v>22</v>
      </c>
      <c r="I380" t="s">
        <v>18</v>
      </c>
      <c r="J380">
        <v>14</v>
      </c>
      <c r="K380">
        <v>215349</v>
      </c>
      <c r="L380">
        <v>2020</v>
      </c>
    </row>
    <row r="381" spans="1:12" x14ac:dyDescent="0.35">
      <c r="A381">
        <v>380</v>
      </c>
      <c r="B381" s="1">
        <v>45421</v>
      </c>
      <c r="C381" t="s">
        <v>16</v>
      </c>
      <c r="D381" t="s">
        <v>29</v>
      </c>
      <c r="E381">
        <v>4.25</v>
      </c>
      <c r="F381">
        <v>8.9</v>
      </c>
      <c r="G381">
        <v>821398</v>
      </c>
      <c r="H381" t="s">
        <v>26</v>
      </c>
      <c r="I381" t="s">
        <v>18</v>
      </c>
      <c r="J381">
        <v>5</v>
      </c>
      <c r="K381">
        <v>99405</v>
      </c>
      <c r="L381">
        <v>2024</v>
      </c>
    </row>
    <row r="382" spans="1:12" x14ac:dyDescent="0.35">
      <c r="A382">
        <v>381</v>
      </c>
      <c r="B382" s="1">
        <v>44072</v>
      </c>
      <c r="C382" t="s">
        <v>27</v>
      </c>
      <c r="D382" t="s">
        <v>25</v>
      </c>
      <c r="E382">
        <v>3.7</v>
      </c>
      <c r="F382">
        <v>1.49</v>
      </c>
      <c r="G382">
        <v>788790</v>
      </c>
      <c r="H382" t="s">
        <v>17</v>
      </c>
      <c r="I382" t="s">
        <v>15</v>
      </c>
      <c r="J382">
        <v>16</v>
      </c>
      <c r="K382">
        <v>85258</v>
      </c>
      <c r="L382">
        <v>2020</v>
      </c>
    </row>
    <row r="383" spans="1:12" x14ac:dyDescent="0.35">
      <c r="A383">
        <v>382</v>
      </c>
      <c r="B383" s="1">
        <v>45434</v>
      </c>
      <c r="C383" t="s">
        <v>28</v>
      </c>
      <c r="D383" t="s">
        <v>25</v>
      </c>
      <c r="E383">
        <v>0.94</v>
      </c>
      <c r="F383">
        <v>3.43</v>
      </c>
      <c r="G383">
        <v>146485</v>
      </c>
      <c r="H383" t="s">
        <v>14</v>
      </c>
      <c r="I383" t="s">
        <v>15</v>
      </c>
      <c r="J383">
        <v>36</v>
      </c>
      <c r="K383">
        <v>252466</v>
      </c>
      <c r="L383">
        <v>2024</v>
      </c>
    </row>
    <row r="384" spans="1:12" x14ac:dyDescent="0.35">
      <c r="A384">
        <v>383</v>
      </c>
      <c r="B384" s="1">
        <v>43841</v>
      </c>
      <c r="C384" t="s">
        <v>16</v>
      </c>
      <c r="D384" t="s">
        <v>23</v>
      </c>
      <c r="E384">
        <v>2.48</v>
      </c>
      <c r="F384">
        <v>6.83</v>
      </c>
      <c r="G384">
        <v>991731</v>
      </c>
      <c r="H384" t="s">
        <v>22</v>
      </c>
      <c r="I384" t="s">
        <v>18</v>
      </c>
      <c r="J384">
        <v>10</v>
      </c>
      <c r="K384">
        <v>189749</v>
      </c>
      <c r="L384">
        <v>2020</v>
      </c>
    </row>
    <row r="385" spans="1:12" x14ac:dyDescent="0.35">
      <c r="A385">
        <v>384</v>
      </c>
      <c r="B385" s="1">
        <v>44725</v>
      </c>
      <c r="C385" t="s">
        <v>27</v>
      </c>
      <c r="D385" t="s">
        <v>13</v>
      </c>
      <c r="E385">
        <v>3.4</v>
      </c>
      <c r="F385">
        <v>0.76</v>
      </c>
      <c r="G385">
        <v>322947</v>
      </c>
      <c r="H385" t="s">
        <v>22</v>
      </c>
      <c r="I385" t="s">
        <v>15</v>
      </c>
      <c r="J385">
        <v>48</v>
      </c>
      <c r="K385">
        <v>246015</v>
      </c>
      <c r="L385">
        <v>2022</v>
      </c>
    </row>
    <row r="386" spans="1:12" x14ac:dyDescent="0.35">
      <c r="A386">
        <v>385</v>
      </c>
      <c r="B386" s="1">
        <v>45637</v>
      </c>
      <c r="C386" t="s">
        <v>30</v>
      </c>
      <c r="D386" t="s">
        <v>29</v>
      </c>
      <c r="E386">
        <v>3.07</v>
      </c>
      <c r="F386">
        <v>7.77</v>
      </c>
      <c r="G386">
        <v>959587</v>
      </c>
      <c r="H386" t="s">
        <v>21</v>
      </c>
      <c r="I386" t="s">
        <v>15</v>
      </c>
      <c r="J386">
        <v>40</v>
      </c>
      <c r="K386">
        <v>58896</v>
      </c>
      <c r="L386">
        <v>2024</v>
      </c>
    </row>
    <row r="387" spans="1:12" x14ac:dyDescent="0.35">
      <c r="A387">
        <v>386</v>
      </c>
      <c r="B387" s="1">
        <v>45538</v>
      </c>
      <c r="C387" t="s">
        <v>12</v>
      </c>
      <c r="D387" t="s">
        <v>19</v>
      </c>
      <c r="E387">
        <v>3.74</v>
      </c>
      <c r="F387">
        <v>8.8699999999999992</v>
      </c>
      <c r="G387">
        <v>878115</v>
      </c>
      <c r="H387" t="s">
        <v>14</v>
      </c>
      <c r="I387" t="s">
        <v>18</v>
      </c>
      <c r="J387">
        <v>9</v>
      </c>
      <c r="K387">
        <v>214070</v>
      </c>
      <c r="L387">
        <v>2024</v>
      </c>
    </row>
    <row r="388" spans="1:12" x14ac:dyDescent="0.35">
      <c r="A388">
        <v>387</v>
      </c>
      <c r="B388" s="1">
        <v>44872</v>
      </c>
      <c r="C388" t="s">
        <v>28</v>
      </c>
      <c r="D388" t="s">
        <v>19</v>
      </c>
      <c r="E388">
        <v>4.75</v>
      </c>
      <c r="F388">
        <v>2.4700000000000002</v>
      </c>
      <c r="G388">
        <v>500341</v>
      </c>
      <c r="H388" t="s">
        <v>21</v>
      </c>
      <c r="I388" t="s">
        <v>18</v>
      </c>
      <c r="J388">
        <v>25</v>
      </c>
      <c r="K388">
        <v>55656</v>
      </c>
      <c r="L388">
        <v>2022</v>
      </c>
    </row>
    <row r="389" spans="1:12" x14ac:dyDescent="0.35">
      <c r="A389">
        <v>388</v>
      </c>
      <c r="B389" s="1">
        <v>44137</v>
      </c>
      <c r="C389" t="s">
        <v>12</v>
      </c>
      <c r="D389" t="s">
        <v>25</v>
      </c>
      <c r="E389">
        <v>4.6100000000000003</v>
      </c>
      <c r="F389">
        <v>2.2599999999999998</v>
      </c>
      <c r="G389">
        <v>237723</v>
      </c>
      <c r="H389" t="s">
        <v>26</v>
      </c>
      <c r="I389" t="s">
        <v>18</v>
      </c>
      <c r="J389">
        <v>3</v>
      </c>
      <c r="K389">
        <v>22785</v>
      </c>
      <c r="L389">
        <v>2020</v>
      </c>
    </row>
    <row r="390" spans="1:12" x14ac:dyDescent="0.35">
      <c r="A390">
        <v>389</v>
      </c>
      <c r="B390" s="1">
        <v>44246</v>
      </c>
      <c r="C390" t="s">
        <v>30</v>
      </c>
      <c r="D390" t="s">
        <v>23</v>
      </c>
      <c r="E390">
        <v>0.42</v>
      </c>
      <c r="F390">
        <v>7.65</v>
      </c>
      <c r="G390">
        <v>543925</v>
      </c>
      <c r="H390" t="s">
        <v>17</v>
      </c>
      <c r="I390" t="s">
        <v>18</v>
      </c>
      <c r="J390">
        <v>41</v>
      </c>
      <c r="K390">
        <v>17300</v>
      </c>
      <c r="L390">
        <v>2021</v>
      </c>
    </row>
    <row r="391" spans="1:12" x14ac:dyDescent="0.35">
      <c r="A391">
        <v>390</v>
      </c>
      <c r="B391" s="1">
        <v>43834</v>
      </c>
      <c r="C391" t="s">
        <v>16</v>
      </c>
      <c r="D391" t="s">
        <v>13</v>
      </c>
      <c r="E391">
        <v>2.2400000000000002</v>
      </c>
      <c r="F391">
        <v>7.97</v>
      </c>
      <c r="G391">
        <v>525126</v>
      </c>
      <c r="H391" t="s">
        <v>26</v>
      </c>
      <c r="I391" t="s">
        <v>18</v>
      </c>
      <c r="J391">
        <v>17</v>
      </c>
      <c r="K391">
        <v>282569</v>
      </c>
      <c r="L391">
        <v>2020</v>
      </c>
    </row>
    <row r="392" spans="1:12" x14ac:dyDescent="0.35">
      <c r="A392">
        <v>391</v>
      </c>
      <c r="B392" s="1">
        <v>44236</v>
      </c>
      <c r="C392" t="s">
        <v>27</v>
      </c>
      <c r="D392" t="s">
        <v>13</v>
      </c>
      <c r="E392">
        <v>4.2</v>
      </c>
      <c r="F392">
        <v>7.02</v>
      </c>
      <c r="G392">
        <v>919663</v>
      </c>
      <c r="H392" t="s">
        <v>14</v>
      </c>
      <c r="I392" t="s">
        <v>15</v>
      </c>
      <c r="J392">
        <v>2</v>
      </c>
      <c r="K392">
        <v>56947</v>
      </c>
      <c r="L392">
        <v>2021</v>
      </c>
    </row>
    <row r="393" spans="1:12" x14ac:dyDescent="0.35">
      <c r="A393">
        <v>392</v>
      </c>
      <c r="B393" s="1">
        <v>44570</v>
      </c>
      <c r="C393" t="s">
        <v>16</v>
      </c>
      <c r="D393" t="s">
        <v>13</v>
      </c>
      <c r="E393">
        <v>1.04</v>
      </c>
      <c r="F393">
        <v>5.27</v>
      </c>
      <c r="G393">
        <v>948212</v>
      </c>
      <c r="H393" t="s">
        <v>14</v>
      </c>
      <c r="I393" t="s">
        <v>15</v>
      </c>
      <c r="J393">
        <v>1</v>
      </c>
      <c r="K393">
        <v>50582</v>
      </c>
      <c r="L393">
        <v>2022</v>
      </c>
    </row>
    <row r="394" spans="1:12" x14ac:dyDescent="0.35">
      <c r="A394">
        <v>393</v>
      </c>
      <c r="B394" s="1">
        <v>45627</v>
      </c>
      <c r="C394" t="s">
        <v>24</v>
      </c>
      <c r="D394" t="s">
        <v>23</v>
      </c>
      <c r="E394">
        <v>2.12</v>
      </c>
      <c r="F394">
        <v>7.86</v>
      </c>
      <c r="G394">
        <v>465024</v>
      </c>
      <c r="H394" t="s">
        <v>17</v>
      </c>
      <c r="I394" t="s">
        <v>18</v>
      </c>
      <c r="J394">
        <v>13</v>
      </c>
      <c r="K394">
        <v>181177</v>
      </c>
      <c r="L394">
        <v>2024</v>
      </c>
    </row>
    <row r="395" spans="1:12" x14ac:dyDescent="0.35">
      <c r="A395">
        <v>394</v>
      </c>
      <c r="B395" s="1">
        <v>44535</v>
      </c>
      <c r="C395" t="s">
        <v>24</v>
      </c>
      <c r="D395" t="s">
        <v>29</v>
      </c>
      <c r="E395">
        <v>1.28</v>
      </c>
      <c r="F395">
        <v>9.02</v>
      </c>
      <c r="G395">
        <v>669029</v>
      </c>
      <c r="H395" t="s">
        <v>14</v>
      </c>
      <c r="I395" t="s">
        <v>15</v>
      </c>
      <c r="J395">
        <v>50</v>
      </c>
      <c r="K395">
        <v>195666</v>
      </c>
      <c r="L395">
        <v>2021</v>
      </c>
    </row>
    <row r="396" spans="1:12" x14ac:dyDescent="0.35">
      <c r="A396">
        <v>395</v>
      </c>
      <c r="B396" s="1">
        <v>45249</v>
      </c>
      <c r="C396" t="s">
        <v>20</v>
      </c>
      <c r="D396" t="s">
        <v>25</v>
      </c>
      <c r="E396">
        <v>2.23</v>
      </c>
      <c r="F396">
        <v>3.97</v>
      </c>
      <c r="G396">
        <v>291863</v>
      </c>
      <c r="H396" t="s">
        <v>26</v>
      </c>
      <c r="I396" t="s">
        <v>18</v>
      </c>
      <c r="J396">
        <v>1</v>
      </c>
      <c r="K396">
        <v>84517</v>
      </c>
      <c r="L396">
        <v>2023</v>
      </c>
    </row>
    <row r="397" spans="1:12" x14ac:dyDescent="0.35">
      <c r="A397">
        <v>396</v>
      </c>
      <c r="B397" s="1">
        <v>45459</v>
      </c>
      <c r="C397" t="s">
        <v>28</v>
      </c>
      <c r="D397" t="s">
        <v>25</v>
      </c>
      <c r="E397">
        <v>3.5</v>
      </c>
      <c r="F397">
        <v>2.58</v>
      </c>
      <c r="G397">
        <v>818725</v>
      </c>
      <c r="H397" t="s">
        <v>14</v>
      </c>
      <c r="I397" t="s">
        <v>15</v>
      </c>
      <c r="J397">
        <v>35</v>
      </c>
      <c r="K397">
        <v>257923</v>
      </c>
      <c r="L397">
        <v>2024</v>
      </c>
    </row>
    <row r="398" spans="1:12" x14ac:dyDescent="0.35">
      <c r="A398">
        <v>397</v>
      </c>
      <c r="B398" s="1">
        <v>44454</v>
      </c>
      <c r="C398" t="s">
        <v>24</v>
      </c>
      <c r="D398" t="s">
        <v>13</v>
      </c>
      <c r="E398">
        <v>3.19</v>
      </c>
      <c r="F398">
        <v>2.64</v>
      </c>
      <c r="G398">
        <v>642254</v>
      </c>
      <c r="H398" t="s">
        <v>14</v>
      </c>
      <c r="I398" t="s">
        <v>18</v>
      </c>
      <c r="J398">
        <v>23</v>
      </c>
      <c r="K398">
        <v>41094</v>
      </c>
      <c r="L398">
        <v>2021</v>
      </c>
    </row>
    <row r="399" spans="1:12" x14ac:dyDescent="0.35">
      <c r="A399">
        <v>398</v>
      </c>
      <c r="B399" s="1">
        <v>45338</v>
      </c>
      <c r="C399" t="s">
        <v>16</v>
      </c>
      <c r="D399" t="s">
        <v>29</v>
      </c>
      <c r="E399">
        <v>1.37</v>
      </c>
      <c r="F399">
        <v>2.39</v>
      </c>
      <c r="G399">
        <v>167737</v>
      </c>
      <c r="H399" t="s">
        <v>14</v>
      </c>
      <c r="I399" t="s">
        <v>15</v>
      </c>
      <c r="J399">
        <v>9</v>
      </c>
      <c r="K399">
        <v>248305</v>
      </c>
      <c r="L399">
        <v>2024</v>
      </c>
    </row>
    <row r="400" spans="1:12" x14ac:dyDescent="0.35">
      <c r="A400">
        <v>399</v>
      </c>
      <c r="B400" s="1">
        <v>44846</v>
      </c>
      <c r="C400" t="s">
        <v>12</v>
      </c>
      <c r="D400" t="s">
        <v>19</v>
      </c>
      <c r="E400">
        <v>4.5999999999999996</v>
      </c>
      <c r="F400">
        <v>8.1199999999999992</v>
      </c>
      <c r="G400">
        <v>492498</v>
      </c>
      <c r="H400" t="s">
        <v>14</v>
      </c>
      <c r="I400" t="s">
        <v>15</v>
      </c>
      <c r="J400">
        <v>8</v>
      </c>
      <c r="K400">
        <v>37302</v>
      </c>
      <c r="L400">
        <v>2022</v>
      </c>
    </row>
    <row r="401" spans="1:12" x14ac:dyDescent="0.35">
      <c r="A401">
        <v>400</v>
      </c>
      <c r="B401" s="1">
        <v>44111</v>
      </c>
      <c r="C401" t="s">
        <v>30</v>
      </c>
      <c r="D401" t="s">
        <v>29</v>
      </c>
      <c r="E401">
        <v>1.69</v>
      </c>
      <c r="F401">
        <v>6.68</v>
      </c>
      <c r="G401">
        <v>974903</v>
      </c>
      <c r="H401" t="s">
        <v>22</v>
      </c>
      <c r="I401" t="s">
        <v>15</v>
      </c>
      <c r="J401">
        <v>2</v>
      </c>
      <c r="K401">
        <v>84343</v>
      </c>
      <c r="L401">
        <v>2020</v>
      </c>
    </row>
    <row r="402" spans="1:12" x14ac:dyDescent="0.35">
      <c r="A402">
        <v>401</v>
      </c>
      <c r="B402" s="1">
        <v>44215</v>
      </c>
      <c r="C402" t="s">
        <v>12</v>
      </c>
      <c r="D402" t="s">
        <v>25</v>
      </c>
      <c r="E402">
        <v>2.86</v>
      </c>
      <c r="F402">
        <v>2.93</v>
      </c>
      <c r="G402">
        <v>933527</v>
      </c>
      <c r="H402" t="s">
        <v>26</v>
      </c>
      <c r="I402" t="s">
        <v>15</v>
      </c>
      <c r="J402">
        <v>7</v>
      </c>
      <c r="K402">
        <v>136398</v>
      </c>
      <c r="L402">
        <v>2021</v>
      </c>
    </row>
    <row r="403" spans="1:12" x14ac:dyDescent="0.35">
      <c r="A403">
        <v>402</v>
      </c>
      <c r="B403" s="1">
        <v>44917</v>
      </c>
      <c r="C403" t="s">
        <v>24</v>
      </c>
      <c r="D403" t="s">
        <v>29</v>
      </c>
      <c r="E403">
        <v>4.3</v>
      </c>
      <c r="F403">
        <v>8.06</v>
      </c>
      <c r="G403">
        <v>512193</v>
      </c>
      <c r="H403" t="s">
        <v>22</v>
      </c>
      <c r="I403" t="s">
        <v>15</v>
      </c>
      <c r="J403">
        <v>47</v>
      </c>
      <c r="K403">
        <v>239022</v>
      </c>
      <c r="L403">
        <v>2022</v>
      </c>
    </row>
    <row r="404" spans="1:12" x14ac:dyDescent="0.35">
      <c r="A404">
        <v>403</v>
      </c>
      <c r="B404" s="1">
        <v>45324</v>
      </c>
      <c r="C404" t="s">
        <v>12</v>
      </c>
      <c r="D404" t="s">
        <v>29</v>
      </c>
      <c r="E404">
        <v>1.72</v>
      </c>
      <c r="F404">
        <v>9.86</v>
      </c>
      <c r="G404">
        <v>327453</v>
      </c>
      <c r="H404" t="s">
        <v>14</v>
      </c>
      <c r="I404" t="s">
        <v>15</v>
      </c>
      <c r="J404">
        <v>23</v>
      </c>
      <c r="K404">
        <v>95130</v>
      </c>
      <c r="L404">
        <v>2024</v>
      </c>
    </row>
    <row r="405" spans="1:12" x14ac:dyDescent="0.35">
      <c r="A405">
        <v>404</v>
      </c>
      <c r="B405" s="1">
        <v>44863</v>
      </c>
      <c r="C405" t="s">
        <v>28</v>
      </c>
      <c r="D405" t="s">
        <v>23</v>
      </c>
      <c r="E405">
        <v>2.13</v>
      </c>
      <c r="F405">
        <v>2.4700000000000002</v>
      </c>
      <c r="G405">
        <v>522444</v>
      </c>
      <c r="H405" t="s">
        <v>22</v>
      </c>
      <c r="I405" t="s">
        <v>18</v>
      </c>
      <c r="J405">
        <v>49</v>
      </c>
      <c r="K405">
        <v>109846</v>
      </c>
      <c r="L405">
        <v>2022</v>
      </c>
    </row>
    <row r="406" spans="1:12" x14ac:dyDescent="0.35">
      <c r="A406">
        <v>405</v>
      </c>
      <c r="B406" s="1">
        <v>45015</v>
      </c>
      <c r="C406" t="s">
        <v>12</v>
      </c>
      <c r="D406" t="s">
        <v>19</v>
      </c>
      <c r="E406">
        <v>2.57</v>
      </c>
      <c r="F406">
        <v>2.57</v>
      </c>
      <c r="G406">
        <v>948327</v>
      </c>
      <c r="H406" t="s">
        <v>22</v>
      </c>
      <c r="I406" t="s">
        <v>15</v>
      </c>
      <c r="J406">
        <v>17</v>
      </c>
      <c r="K406">
        <v>158375</v>
      </c>
      <c r="L406">
        <v>2023</v>
      </c>
    </row>
    <row r="407" spans="1:12" x14ac:dyDescent="0.35">
      <c r="A407">
        <v>406</v>
      </c>
      <c r="B407" s="1">
        <v>45037</v>
      </c>
      <c r="C407" t="s">
        <v>16</v>
      </c>
      <c r="D407" t="s">
        <v>23</v>
      </c>
      <c r="E407">
        <v>1.07</v>
      </c>
      <c r="F407">
        <v>7.52</v>
      </c>
      <c r="G407">
        <v>233717</v>
      </c>
      <c r="H407" t="s">
        <v>17</v>
      </c>
      <c r="I407" t="s">
        <v>18</v>
      </c>
      <c r="J407">
        <v>38</v>
      </c>
      <c r="K407">
        <v>212208</v>
      </c>
      <c r="L407">
        <v>2023</v>
      </c>
    </row>
    <row r="408" spans="1:12" x14ac:dyDescent="0.35">
      <c r="A408">
        <v>407</v>
      </c>
      <c r="B408" s="1">
        <v>44317</v>
      </c>
      <c r="C408" t="s">
        <v>24</v>
      </c>
      <c r="D408" t="s">
        <v>29</v>
      </c>
      <c r="E408">
        <v>4.1399999999999997</v>
      </c>
      <c r="F408">
        <v>7.92</v>
      </c>
      <c r="G408">
        <v>100028</v>
      </c>
      <c r="H408" t="s">
        <v>22</v>
      </c>
      <c r="I408" t="s">
        <v>15</v>
      </c>
      <c r="J408">
        <v>41</v>
      </c>
      <c r="K408">
        <v>64166</v>
      </c>
      <c r="L408">
        <v>2021</v>
      </c>
    </row>
    <row r="409" spans="1:12" x14ac:dyDescent="0.35">
      <c r="A409">
        <v>408</v>
      </c>
      <c r="B409" s="1">
        <v>44842</v>
      </c>
      <c r="C409" t="s">
        <v>28</v>
      </c>
      <c r="D409" t="s">
        <v>29</v>
      </c>
      <c r="E409">
        <v>2.4300000000000002</v>
      </c>
      <c r="F409">
        <v>6.7</v>
      </c>
      <c r="G409">
        <v>317800</v>
      </c>
      <c r="H409" t="s">
        <v>17</v>
      </c>
      <c r="I409" t="s">
        <v>18</v>
      </c>
      <c r="J409">
        <v>12</v>
      </c>
      <c r="K409">
        <v>75691</v>
      </c>
      <c r="L409">
        <v>2022</v>
      </c>
    </row>
    <row r="410" spans="1:12" x14ac:dyDescent="0.35">
      <c r="A410">
        <v>409</v>
      </c>
      <c r="B410" s="1">
        <v>45559</v>
      </c>
      <c r="C410" t="s">
        <v>20</v>
      </c>
      <c r="D410" t="s">
        <v>19</v>
      </c>
      <c r="E410">
        <v>0.91</v>
      </c>
      <c r="F410">
        <v>2.4</v>
      </c>
      <c r="G410">
        <v>539273</v>
      </c>
      <c r="H410" t="s">
        <v>14</v>
      </c>
      <c r="I410" t="s">
        <v>15</v>
      </c>
      <c r="J410">
        <v>35</v>
      </c>
      <c r="K410">
        <v>181274</v>
      </c>
      <c r="L410">
        <v>2024</v>
      </c>
    </row>
    <row r="411" spans="1:12" x14ac:dyDescent="0.35">
      <c r="A411">
        <v>410</v>
      </c>
      <c r="B411" s="1">
        <v>44689</v>
      </c>
      <c r="C411" t="s">
        <v>30</v>
      </c>
      <c r="D411" t="s">
        <v>19</v>
      </c>
      <c r="E411">
        <v>3.88</v>
      </c>
      <c r="F411">
        <v>4.29</v>
      </c>
      <c r="G411">
        <v>148942</v>
      </c>
      <c r="H411" t="s">
        <v>21</v>
      </c>
      <c r="I411" t="s">
        <v>18</v>
      </c>
      <c r="J411">
        <v>15</v>
      </c>
      <c r="K411">
        <v>79374</v>
      </c>
      <c r="L411">
        <v>2022</v>
      </c>
    </row>
    <row r="412" spans="1:12" x14ac:dyDescent="0.35">
      <c r="A412">
        <v>411</v>
      </c>
      <c r="B412" s="1">
        <v>44958</v>
      </c>
      <c r="C412" t="s">
        <v>16</v>
      </c>
      <c r="D412" t="s">
        <v>13</v>
      </c>
      <c r="E412">
        <v>4.26</v>
      </c>
      <c r="F412">
        <v>8.01</v>
      </c>
      <c r="G412">
        <v>721704</v>
      </c>
      <c r="H412" t="s">
        <v>22</v>
      </c>
      <c r="I412" t="s">
        <v>18</v>
      </c>
      <c r="J412">
        <v>41</v>
      </c>
      <c r="K412">
        <v>216494</v>
      </c>
      <c r="L412">
        <v>2023</v>
      </c>
    </row>
    <row r="413" spans="1:12" x14ac:dyDescent="0.35">
      <c r="A413">
        <v>412</v>
      </c>
      <c r="B413" s="1">
        <v>44042</v>
      </c>
      <c r="C413" t="s">
        <v>30</v>
      </c>
      <c r="D413" t="s">
        <v>29</v>
      </c>
      <c r="E413">
        <v>1.28</v>
      </c>
      <c r="F413">
        <v>7.59</v>
      </c>
      <c r="G413">
        <v>829202</v>
      </c>
      <c r="H413" t="s">
        <v>21</v>
      </c>
      <c r="I413" t="s">
        <v>15</v>
      </c>
      <c r="J413">
        <v>14</v>
      </c>
      <c r="K413">
        <v>63046</v>
      </c>
      <c r="L413">
        <v>2020</v>
      </c>
    </row>
    <row r="414" spans="1:12" x14ac:dyDescent="0.35">
      <c r="A414">
        <v>413</v>
      </c>
      <c r="B414" s="1">
        <v>45134</v>
      </c>
      <c r="C414" t="s">
        <v>12</v>
      </c>
      <c r="D414" t="s">
        <v>19</v>
      </c>
      <c r="E414">
        <v>0.91</v>
      </c>
      <c r="F414">
        <v>2.06</v>
      </c>
      <c r="G414">
        <v>487712</v>
      </c>
      <c r="H414" t="s">
        <v>14</v>
      </c>
      <c r="I414" t="s">
        <v>15</v>
      </c>
      <c r="J414">
        <v>42</v>
      </c>
      <c r="K414">
        <v>265068</v>
      </c>
      <c r="L414">
        <v>2023</v>
      </c>
    </row>
    <row r="415" spans="1:12" x14ac:dyDescent="0.35">
      <c r="A415">
        <v>414</v>
      </c>
      <c r="B415" s="1">
        <v>45282</v>
      </c>
      <c r="C415" t="s">
        <v>20</v>
      </c>
      <c r="D415" t="s">
        <v>29</v>
      </c>
      <c r="E415">
        <v>2.69</v>
      </c>
      <c r="F415">
        <v>3.69</v>
      </c>
      <c r="G415">
        <v>766112</v>
      </c>
      <c r="H415" t="s">
        <v>14</v>
      </c>
      <c r="I415" t="s">
        <v>15</v>
      </c>
      <c r="J415">
        <v>27</v>
      </c>
      <c r="K415">
        <v>141259</v>
      </c>
      <c r="L415">
        <v>2023</v>
      </c>
    </row>
    <row r="416" spans="1:12" x14ac:dyDescent="0.35">
      <c r="A416">
        <v>415</v>
      </c>
      <c r="B416" s="1">
        <v>45494</v>
      </c>
      <c r="C416" t="s">
        <v>28</v>
      </c>
      <c r="D416" t="s">
        <v>19</v>
      </c>
      <c r="E416">
        <v>3.42</v>
      </c>
      <c r="F416">
        <v>6.77</v>
      </c>
      <c r="G416">
        <v>217189</v>
      </c>
      <c r="H416" t="s">
        <v>17</v>
      </c>
      <c r="I416" t="s">
        <v>18</v>
      </c>
      <c r="J416">
        <v>25</v>
      </c>
      <c r="K416">
        <v>17538</v>
      </c>
      <c r="L416">
        <v>2024</v>
      </c>
    </row>
    <row r="417" spans="1:12" x14ac:dyDescent="0.35">
      <c r="A417">
        <v>416</v>
      </c>
      <c r="B417" s="1">
        <v>44878</v>
      </c>
      <c r="C417" t="s">
        <v>28</v>
      </c>
      <c r="D417" t="s">
        <v>25</v>
      </c>
      <c r="E417">
        <v>4.04</v>
      </c>
      <c r="F417">
        <v>9.15</v>
      </c>
      <c r="G417">
        <v>724276</v>
      </c>
      <c r="H417" t="s">
        <v>26</v>
      </c>
      <c r="I417" t="s">
        <v>15</v>
      </c>
      <c r="J417">
        <v>9</v>
      </c>
      <c r="K417">
        <v>186870</v>
      </c>
      <c r="L417">
        <v>2022</v>
      </c>
    </row>
    <row r="418" spans="1:12" x14ac:dyDescent="0.35">
      <c r="A418">
        <v>417</v>
      </c>
      <c r="B418" s="1">
        <v>44759</v>
      </c>
      <c r="C418" t="s">
        <v>27</v>
      </c>
      <c r="D418" t="s">
        <v>13</v>
      </c>
      <c r="E418">
        <v>2.81</v>
      </c>
      <c r="F418">
        <v>7.21</v>
      </c>
      <c r="G418">
        <v>350360</v>
      </c>
      <c r="H418" t="s">
        <v>22</v>
      </c>
      <c r="I418" t="s">
        <v>15</v>
      </c>
      <c r="J418">
        <v>35</v>
      </c>
      <c r="K418">
        <v>38709</v>
      </c>
      <c r="L418">
        <v>2022</v>
      </c>
    </row>
    <row r="419" spans="1:12" x14ac:dyDescent="0.35">
      <c r="A419">
        <v>418</v>
      </c>
      <c r="B419" s="1">
        <v>45600</v>
      </c>
      <c r="C419" t="s">
        <v>24</v>
      </c>
      <c r="D419" t="s">
        <v>25</v>
      </c>
      <c r="E419">
        <v>3.78</v>
      </c>
      <c r="F419">
        <v>7.88</v>
      </c>
      <c r="G419">
        <v>360553</v>
      </c>
      <c r="H419" t="s">
        <v>26</v>
      </c>
      <c r="I419" t="s">
        <v>18</v>
      </c>
      <c r="J419">
        <v>16</v>
      </c>
      <c r="K419">
        <v>44468</v>
      </c>
      <c r="L419">
        <v>2024</v>
      </c>
    </row>
    <row r="420" spans="1:12" x14ac:dyDescent="0.35">
      <c r="A420">
        <v>419</v>
      </c>
      <c r="B420" s="1">
        <v>44424</v>
      </c>
      <c r="C420" t="s">
        <v>28</v>
      </c>
      <c r="D420" t="s">
        <v>25</v>
      </c>
      <c r="E420">
        <v>3.18</v>
      </c>
      <c r="F420">
        <v>6.03</v>
      </c>
      <c r="G420">
        <v>240144</v>
      </c>
      <c r="H420" t="s">
        <v>26</v>
      </c>
      <c r="I420" t="s">
        <v>15</v>
      </c>
      <c r="J420">
        <v>19</v>
      </c>
      <c r="K420">
        <v>226170</v>
      </c>
      <c r="L420">
        <v>2021</v>
      </c>
    </row>
    <row r="421" spans="1:12" x14ac:dyDescent="0.35">
      <c r="A421">
        <v>420</v>
      </c>
      <c r="B421" s="1">
        <v>43873</v>
      </c>
      <c r="C421" t="s">
        <v>28</v>
      </c>
      <c r="D421" t="s">
        <v>13</v>
      </c>
      <c r="E421">
        <v>3.83</v>
      </c>
      <c r="F421">
        <v>4.83</v>
      </c>
      <c r="G421">
        <v>326187</v>
      </c>
      <c r="H421" t="s">
        <v>26</v>
      </c>
      <c r="I421" t="s">
        <v>18</v>
      </c>
      <c r="J421">
        <v>27</v>
      </c>
      <c r="K421">
        <v>166029</v>
      </c>
      <c r="L421">
        <v>2020</v>
      </c>
    </row>
    <row r="422" spans="1:12" x14ac:dyDescent="0.35">
      <c r="A422">
        <v>421</v>
      </c>
      <c r="B422" s="1">
        <v>44643</v>
      </c>
      <c r="C422" t="s">
        <v>16</v>
      </c>
      <c r="D422" t="s">
        <v>29</v>
      </c>
      <c r="E422">
        <v>1.59</v>
      </c>
      <c r="F422">
        <v>9.43</v>
      </c>
      <c r="G422">
        <v>356657</v>
      </c>
      <c r="H422" t="s">
        <v>17</v>
      </c>
      <c r="I422" t="s">
        <v>15</v>
      </c>
      <c r="J422">
        <v>31</v>
      </c>
      <c r="K422">
        <v>123916</v>
      </c>
      <c r="L422">
        <v>2022</v>
      </c>
    </row>
    <row r="423" spans="1:12" x14ac:dyDescent="0.35">
      <c r="A423">
        <v>422</v>
      </c>
      <c r="B423" s="1">
        <v>44248</v>
      </c>
      <c r="C423" t="s">
        <v>27</v>
      </c>
      <c r="D423" t="s">
        <v>23</v>
      </c>
      <c r="E423">
        <v>4.9800000000000004</v>
      </c>
      <c r="F423">
        <v>8.67</v>
      </c>
      <c r="G423">
        <v>721247</v>
      </c>
      <c r="H423" t="s">
        <v>14</v>
      </c>
      <c r="I423" t="s">
        <v>18</v>
      </c>
      <c r="J423">
        <v>4</v>
      </c>
      <c r="K423">
        <v>219064</v>
      </c>
      <c r="L423">
        <v>2021</v>
      </c>
    </row>
    <row r="424" spans="1:12" x14ac:dyDescent="0.35">
      <c r="A424">
        <v>423</v>
      </c>
      <c r="B424" s="1">
        <v>43976</v>
      </c>
      <c r="C424" t="s">
        <v>12</v>
      </c>
      <c r="D424" t="s">
        <v>19</v>
      </c>
      <c r="E424">
        <v>1.46</v>
      </c>
      <c r="F424">
        <v>8.3699999999999992</v>
      </c>
      <c r="G424">
        <v>947028</v>
      </c>
      <c r="H424" t="s">
        <v>17</v>
      </c>
      <c r="I424" t="s">
        <v>18</v>
      </c>
      <c r="J424">
        <v>3</v>
      </c>
      <c r="K424">
        <v>282492</v>
      </c>
      <c r="L424">
        <v>2020</v>
      </c>
    </row>
    <row r="425" spans="1:12" x14ac:dyDescent="0.35">
      <c r="A425">
        <v>424</v>
      </c>
      <c r="B425" s="1">
        <v>44354</v>
      </c>
      <c r="C425" t="s">
        <v>12</v>
      </c>
      <c r="D425" t="s">
        <v>29</v>
      </c>
      <c r="E425">
        <v>2.5099999999999998</v>
      </c>
      <c r="F425">
        <v>7.13</v>
      </c>
      <c r="G425">
        <v>775561</v>
      </c>
      <c r="H425" t="s">
        <v>14</v>
      </c>
      <c r="I425" t="s">
        <v>18</v>
      </c>
      <c r="J425">
        <v>3</v>
      </c>
      <c r="K425">
        <v>194359</v>
      </c>
      <c r="L425">
        <v>2021</v>
      </c>
    </row>
    <row r="426" spans="1:12" x14ac:dyDescent="0.35">
      <c r="A426">
        <v>425</v>
      </c>
      <c r="B426" s="1">
        <v>44508</v>
      </c>
      <c r="C426" t="s">
        <v>12</v>
      </c>
      <c r="D426" t="s">
        <v>19</v>
      </c>
      <c r="E426">
        <v>0.56000000000000005</v>
      </c>
      <c r="F426">
        <v>2.89</v>
      </c>
      <c r="G426">
        <v>253985</v>
      </c>
      <c r="H426" t="s">
        <v>22</v>
      </c>
      <c r="I426" t="s">
        <v>15</v>
      </c>
      <c r="J426">
        <v>2</v>
      </c>
      <c r="K426">
        <v>67635</v>
      </c>
      <c r="L426">
        <v>2021</v>
      </c>
    </row>
    <row r="427" spans="1:12" x14ac:dyDescent="0.35">
      <c r="A427">
        <v>426</v>
      </c>
      <c r="B427" s="1">
        <v>43943</v>
      </c>
      <c r="C427" t="s">
        <v>27</v>
      </c>
      <c r="D427" t="s">
        <v>29</v>
      </c>
      <c r="E427">
        <v>4.1399999999999997</v>
      </c>
      <c r="F427">
        <v>2.44</v>
      </c>
      <c r="G427">
        <v>870698</v>
      </c>
      <c r="H427" t="s">
        <v>17</v>
      </c>
      <c r="I427" t="s">
        <v>18</v>
      </c>
      <c r="J427">
        <v>4</v>
      </c>
      <c r="K427">
        <v>262844</v>
      </c>
      <c r="L427">
        <v>2020</v>
      </c>
    </row>
    <row r="428" spans="1:12" x14ac:dyDescent="0.35">
      <c r="A428">
        <v>427</v>
      </c>
      <c r="B428" s="1">
        <v>44227</v>
      </c>
      <c r="C428" t="s">
        <v>12</v>
      </c>
      <c r="D428" t="s">
        <v>23</v>
      </c>
      <c r="E428">
        <v>4.79</v>
      </c>
      <c r="F428">
        <v>9.9700000000000006</v>
      </c>
      <c r="G428">
        <v>986075</v>
      </c>
      <c r="H428" t="s">
        <v>22</v>
      </c>
      <c r="I428" t="s">
        <v>18</v>
      </c>
      <c r="J428">
        <v>14</v>
      </c>
      <c r="K428">
        <v>286705</v>
      </c>
      <c r="L428">
        <v>2021</v>
      </c>
    </row>
    <row r="429" spans="1:12" x14ac:dyDescent="0.35">
      <c r="A429">
        <v>428</v>
      </c>
      <c r="B429" s="1">
        <v>45135</v>
      </c>
      <c r="C429" t="s">
        <v>16</v>
      </c>
      <c r="D429" t="s">
        <v>25</v>
      </c>
      <c r="E429">
        <v>0.33</v>
      </c>
      <c r="F429">
        <v>5.53</v>
      </c>
      <c r="G429">
        <v>433767</v>
      </c>
      <c r="H429" t="s">
        <v>26</v>
      </c>
      <c r="I429" t="s">
        <v>18</v>
      </c>
      <c r="J429">
        <v>31</v>
      </c>
      <c r="K429">
        <v>94603</v>
      </c>
      <c r="L429">
        <v>2023</v>
      </c>
    </row>
    <row r="430" spans="1:12" x14ac:dyDescent="0.35">
      <c r="A430">
        <v>429</v>
      </c>
      <c r="B430" s="1">
        <v>45258</v>
      </c>
      <c r="C430" t="s">
        <v>12</v>
      </c>
      <c r="D430" t="s">
        <v>13</v>
      </c>
      <c r="E430">
        <v>3.7</v>
      </c>
      <c r="F430">
        <v>4.49</v>
      </c>
      <c r="G430">
        <v>677622</v>
      </c>
      <c r="H430" t="s">
        <v>21</v>
      </c>
      <c r="I430" t="s">
        <v>15</v>
      </c>
      <c r="J430">
        <v>21</v>
      </c>
      <c r="K430">
        <v>69709</v>
      </c>
      <c r="L430">
        <v>2023</v>
      </c>
    </row>
    <row r="431" spans="1:12" x14ac:dyDescent="0.35">
      <c r="A431">
        <v>430</v>
      </c>
      <c r="B431" s="1">
        <v>45050</v>
      </c>
      <c r="C431" t="s">
        <v>30</v>
      </c>
      <c r="D431" t="s">
        <v>13</v>
      </c>
      <c r="E431">
        <v>3.6</v>
      </c>
      <c r="F431">
        <v>7.83</v>
      </c>
      <c r="G431">
        <v>100487</v>
      </c>
      <c r="H431" t="s">
        <v>22</v>
      </c>
      <c r="I431" t="s">
        <v>15</v>
      </c>
      <c r="J431">
        <v>8</v>
      </c>
      <c r="K431">
        <v>81696</v>
      </c>
      <c r="L431">
        <v>2023</v>
      </c>
    </row>
    <row r="432" spans="1:12" x14ac:dyDescent="0.35">
      <c r="A432">
        <v>431</v>
      </c>
      <c r="B432" s="1">
        <v>45502</v>
      </c>
      <c r="C432" t="s">
        <v>12</v>
      </c>
      <c r="D432" t="s">
        <v>29</v>
      </c>
      <c r="E432">
        <v>1.82</v>
      </c>
      <c r="F432">
        <v>8.4499999999999993</v>
      </c>
      <c r="G432">
        <v>786697</v>
      </c>
      <c r="H432" t="s">
        <v>17</v>
      </c>
      <c r="I432" t="s">
        <v>15</v>
      </c>
      <c r="J432">
        <v>32</v>
      </c>
      <c r="K432">
        <v>29585</v>
      </c>
      <c r="L432">
        <v>2024</v>
      </c>
    </row>
    <row r="433" spans="1:12" x14ac:dyDescent="0.35">
      <c r="A433">
        <v>432</v>
      </c>
      <c r="B433" s="1">
        <v>44871</v>
      </c>
      <c r="C433" t="s">
        <v>30</v>
      </c>
      <c r="D433" t="s">
        <v>23</v>
      </c>
      <c r="E433">
        <v>4.8600000000000003</v>
      </c>
      <c r="F433">
        <v>5.05</v>
      </c>
      <c r="G433">
        <v>690397</v>
      </c>
      <c r="H433" t="s">
        <v>14</v>
      </c>
      <c r="I433" t="s">
        <v>15</v>
      </c>
      <c r="J433">
        <v>1</v>
      </c>
      <c r="K433">
        <v>254870</v>
      </c>
      <c r="L433">
        <v>2022</v>
      </c>
    </row>
    <row r="434" spans="1:12" x14ac:dyDescent="0.35">
      <c r="A434">
        <v>433</v>
      </c>
      <c r="B434" s="1">
        <v>45339</v>
      </c>
      <c r="C434" t="s">
        <v>24</v>
      </c>
      <c r="D434" t="s">
        <v>19</v>
      </c>
      <c r="E434">
        <v>1.39</v>
      </c>
      <c r="F434">
        <v>3.15</v>
      </c>
      <c r="G434">
        <v>467494</v>
      </c>
      <c r="H434" t="s">
        <v>14</v>
      </c>
      <c r="I434" t="s">
        <v>15</v>
      </c>
      <c r="J434">
        <v>45</v>
      </c>
      <c r="K434">
        <v>64341</v>
      </c>
      <c r="L434">
        <v>2024</v>
      </c>
    </row>
    <row r="435" spans="1:12" x14ac:dyDescent="0.35">
      <c r="A435">
        <v>434</v>
      </c>
      <c r="B435" s="1">
        <v>43837</v>
      </c>
      <c r="C435" t="s">
        <v>28</v>
      </c>
      <c r="D435" t="s">
        <v>25</v>
      </c>
      <c r="E435">
        <v>0.97</v>
      </c>
      <c r="F435">
        <v>3.84</v>
      </c>
      <c r="G435">
        <v>204737</v>
      </c>
      <c r="H435" t="s">
        <v>22</v>
      </c>
      <c r="I435" t="s">
        <v>15</v>
      </c>
      <c r="J435">
        <v>41</v>
      </c>
      <c r="K435">
        <v>214899</v>
      </c>
      <c r="L435">
        <v>2020</v>
      </c>
    </row>
    <row r="436" spans="1:12" x14ac:dyDescent="0.35">
      <c r="A436">
        <v>435</v>
      </c>
      <c r="B436" s="1">
        <v>44856</v>
      </c>
      <c r="C436" t="s">
        <v>16</v>
      </c>
      <c r="D436" t="s">
        <v>23</v>
      </c>
      <c r="E436">
        <v>2.31</v>
      </c>
      <c r="F436">
        <v>0.81</v>
      </c>
      <c r="G436">
        <v>349524</v>
      </c>
      <c r="H436" t="s">
        <v>21</v>
      </c>
      <c r="I436" t="s">
        <v>18</v>
      </c>
      <c r="J436">
        <v>29</v>
      </c>
      <c r="K436">
        <v>139789</v>
      </c>
      <c r="L436">
        <v>2022</v>
      </c>
    </row>
    <row r="437" spans="1:12" x14ac:dyDescent="0.35">
      <c r="A437">
        <v>436</v>
      </c>
      <c r="B437" s="1">
        <v>44019</v>
      </c>
      <c r="C437" t="s">
        <v>20</v>
      </c>
      <c r="D437" t="s">
        <v>19</v>
      </c>
      <c r="E437">
        <v>2.17</v>
      </c>
      <c r="F437">
        <v>7.99</v>
      </c>
      <c r="G437">
        <v>828978</v>
      </c>
      <c r="H437" t="s">
        <v>14</v>
      </c>
      <c r="I437" t="s">
        <v>15</v>
      </c>
      <c r="J437">
        <v>49</v>
      </c>
      <c r="K437">
        <v>77786</v>
      </c>
      <c r="L437">
        <v>2020</v>
      </c>
    </row>
    <row r="438" spans="1:12" x14ac:dyDescent="0.35">
      <c r="A438">
        <v>437</v>
      </c>
      <c r="B438" s="1">
        <v>45293</v>
      </c>
      <c r="C438" t="s">
        <v>28</v>
      </c>
      <c r="D438" t="s">
        <v>23</v>
      </c>
      <c r="E438">
        <v>3.33</v>
      </c>
      <c r="F438">
        <v>8.15</v>
      </c>
      <c r="G438">
        <v>353722</v>
      </c>
      <c r="H438" t="s">
        <v>22</v>
      </c>
      <c r="I438" t="s">
        <v>18</v>
      </c>
      <c r="J438">
        <v>36</v>
      </c>
      <c r="K438">
        <v>261523</v>
      </c>
      <c r="L438">
        <v>2024</v>
      </c>
    </row>
    <row r="439" spans="1:12" x14ac:dyDescent="0.35">
      <c r="A439">
        <v>438</v>
      </c>
      <c r="B439" s="1">
        <v>45111</v>
      </c>
      <c r="C439" t="s">
        <v>12</v>
      </c>
      <c r="D439" t="s">
        <v>23</v>
      </c>
      <c r="E439">
        <v>3.64</v>
      </c>
      <c r="F439">
        <v>3.27</v>
      </c>
      <c r="G439">
        <v>172570</v>
      </c>
      <c r="H439" t="s">
        <v>21</v>
      </c>
      <c r="I439" t="s">
        <v>18</v>
      </c>
      <c r="J439">
        <v>1</v>
      </c>
      <c r="K439">
        <v>177887</v>
      </c>
      <c r="L439">
        <v>2023</v>
      </c>
    </row>
    <row r="440" spans="1:12" x14ac:dyDescent="0.35">
      <c r="A440">
        <v>439</v>
      </c>
      <c r="B440" s="1">
        <v>45208</v>
      </c>
      <c r="C440" t="s">
        <v>16</v>
      </c>
      <c r="D440" t="s">
        <v>23</v>
      </c>
      <c r="E440">
        <v>2.46</v>
      </c>
      <c r="F440">
        <v>5.08</v>
      </c>
      <c r="G440">
        <v>404287</v>
      </c>
      <c r="H440" t="s">
        <v>26</v>
      </c>
      <c r="I440" t="s">
        <v>15</v>
      </c>
      <c r="J440">
        <v>31</v>
      </c>
      <c r="K440">
        <v>200249</v>
      </c>
      <c r="L440">
        <v>2023</v>
      </c>
    </row>
    <row r="441" spans="1:12" x14ac:dyDescent="0.35">
      <c r="A441">
        <v>440</v>
      </c>
      <c r="B441" s="1">
        <v>45319</v>
      </c>
      <c r="C441" t="s">
        <v>20</v>
      </c>
      <c r="D441" t="s">
        <v>13</v>
      </c>
      <c r="E441">
        <v>1.91</v>
      </c>
      <c r="F441">
        <v>2.5499999999999998</v>
      </c>
      <c r="G441">
        <v>253685</v>
      </c>
      <c r="H441" t="s">
        <v>14</v>
      </c>
      <c r="I441" t="s">
        <v>18</v>
      </c>
      <c r="J441">
        <v>13</v>
      </c>
      <c r="K441">
        <v>121483</v>
      </c>
      <c r="L441">
        <v>2024</v>
      </c>
    </row>
    <row r="442" spans="1:12" x14ac:dyDescent="0.35">
      <c r="A442">
        <v>441</v>
      </c>
      <c r="B442" s="1">
        <v>44900</v>
      </c>
      <c r="C442" t="s">
        <v>24</v>
      </c>
      <c r="D442" t="s">
        <v>13</v>
      </c>
      <c r="E442">
        <v>3.66</v>
      </c>
      <c r="F442">
        <v>2.02</v>
      </c>
      <c r="G442">
        <v>533922</v>
      </c>
      <c r="H442" t="s">
        <v>26</v>
      </c>
      <c r="I442" t="s">
        <v>18</v>
      </c>
      <c r="J442">
        <v>40</v>
      </c>
      <c r="K442">
        <v>150273</v>
      </c>
      <c r="L442">
        <v>2022</v>
      </c>
    </row>
    <row r="443" spans="1:12" x14ac:dyDescent="0.35">
      <c r="A443">
        <v>442</v>
      </c>
      <c r="B443" s="1">
        <v>45473</v>
      </c>
      <c r="C443" t="s">
        <v>27</v>
      </c>
      <c r="D443" t="s">
        <v>23</v>
      </c>
      <c r="E443">
        <v>3.82</v>
      </c>
      <c r="F443">
        <v>5.77</v>
      </c>
      <c r="G443">
        <v>461824</v>
      </c>
      <c r="H443" t="s">
        <v>14</v>
      </c>
      <c r="I443" t="s">
        <v>15</v>
      </c>
      <c r="J443">
        <v>20</v>
      </c>
      <c r="K443">
        <v>75346</v>
      </c>
      <c r="L443">
        <v>2024</v>
      </c>
    </row>
    <row r="444" spans="1:12" x14ac:dyDescent="0.35">
      <c r="A444">
        <v>443</v>
      </c>
      <c r="B444" s="1">
        <v>43869</v>
      </c>
      <c r="C444" t="s">
        <v>30</v>
      </c>
      <c r="D444" t="s">
        <v>19</v>
      </c>
      <c r="E444">
        <v>0.88</v>
      </c>
      <c r="F444">
        <v>8.9700000000000006</v>
      </c>
      <c r="G444">
        <v>90284</v>
      </c>
      <c r="H444" t="s">
        <v>22</v>
      </c>
      <c r="I444" t="s">
        <v>18</v>
      </c>
      <c r="J444">
        <v>47</v>
      </c>
      <c r="K444">
        <v>140746</v>
      </c>
      <c r="L444">
        <v>2020</v>
      </c>
    </row>
    <row r="445" spans="1:12" x14ac:dyDescent="0.35">
      <c r="A445">
        <v>444</v>
      </c>
      <c r="B445" s="1">
        <v>44071</v>
      </c>
      <c r="C445" t="s">
        <v>20</v>
      </c>
      <c r="D445" t="s">
        <v>25</v>
      </c>
      <c r="E445">
        <v>1.2</v>
      </c>
      <c r="F445">
        <v>7.48</v>
      </c>
      <c r="G445">
        <v>608577</v>
      </c>
      <c r="H445" t="s">
        <v>21</v>
      </c>
      <c r="I445" t="s">
        <v>15</v>
      </c>
      <c r="J445">
        <v>50</v>
      </c>
      <c r="K445">
        <v>54335</v>
      </c>
      <c r="L445">
        <v>2020</v>
      </c>
    </row>
    <row r="446" spans="1:12" x14ac:dyDescent="0.35">
      <c r="A446">
        <v>445</v>
      </c>
      <c r="B446" s="1">
        <v>45484</v>
      </c>
      <c r="C446" t="s">
        <v>20</v>
      </c>
      <c r="D446" t="s">
        <v>23</v>
      </c>
      <c r="E446">
        <v>1.51</v>
      </c>
      <c r="F446">
        <v>5.36</v>
      </c>
      <c r="G446">
        <v>469620</v>
      </c>
      <c r="H446" t="s">
        <v>14</v>
      </c>
      <c r="I446" t="s">
        <v>18</v>
      </c>
      <c r="J446">
        <v>5</v>
      </c>
      <c r="K446">
        <v>122760</v>
      </c>
      <c r="L446">
        <v>2024</v>
      </c>
    </row>
    <row r="447" spans="1:12" x14ac:dyDescent="0.35">
      <c r="A447">
        <v>446</v>
      </c>
      <c r="B447" s="1">
        <v>43971</v>
      </c>
      <c r="C447" t="s">
        <v>20</v>
      </c>
      <c r="D447" t="s">
        <v>29</v>
      </c>
      <c r="E447">
        <v>2.52</v>
      </c>
      <c r="F447">
        <v>6.48</v>
      </c>
      <c r="G447">
        <v>402777</v>
      </c>
      <c r="H447" t="s">
        <v>26</v>
      </c>
      <c r="I447" t="s">
        <v>18</v>
      </c>
      <c r="J447">
        <v>30</v>
      </c>
      <c r="K447">
        <v>77546</v>
      </c>
      <c r="L447">
        <v>2020</v>
      </c>
    </row>
    <row r="448" spans="1:12" x14ac:dyDescent="0.35">
      <c r="A448">
        <v>447</v>
      </c>
      <c r="B448" s="1">
        <v>44674</v>
      </c>
      <c r="C448" t="s">
        <v>12</v>
      </c>
      <c r="D448" t="s">
        <v>29</v>
      </c>
      <c r="E448">
        <v>4.04</v>
      </c>
      <c r="F448">
        <v>4.87</v>
      </c>
      <c r="G448">
        <v>758867</v>
      </c>
      <c r="H448" t="s">
        <v>22</v>
      </c>
      <c r="I448" t="s">
        <v>15</v>
      </c>
      <c r="J448">
        <v>38</v>
      </c>
      <c r="K448">
        <v>120150</v>
      </c>
      <c r="L448">
        <v>2022</v>
      </c>
    </row>
    <row r="449" spans="1:12" x14ac:dyDescent="0.35">
      <c r="A449">
        <v>448</v>
      </c>
      <c r="B449" s="1">
        <v>43874</v>
      </c>
      <c r="C449" t="s">
        <v>24</v>
      </c>
      <c r="D449" t="s">
        <v>13</v>
      </c>
      <c r="E449">
        <v>0.26</v>
      </c>
      <c r="F449">
        <v>0.33</v>
      </c>
      <c r="G449">
        <v>95484</v>
      </c>
      <c r="H449" t="s">
        <v>21</v>
      </c>
      <c r="I449" t="s">
        <v>15</v>
      </c>
      <c r="J449">
        <v>44</v>
      </c>
      <c r="K449">
        <v>151328</v>
      </c>
      <c r="L449">
        <v>2020</v>
      </c>
    </row>
    <row r="450" spans="1:12" x14ac:dyDescent="0.35">
      <c r="A450">
        <v>449</v>
      </c>
      <c r="B450" s="1">
        <v>44573</v>
      </c>
      <c r="C450" t="s">
        <v>20</v>
      </c>
      <c r="D450" t="s">
        <v>13</v>
      </c>
      <c r="E450">
        <v>0.24</v>
      </c>
      <c r="F450">
        <v>2.58</v>
      </c>
      <c r="G450">
        <v>464604</v>
      </c>
      <c r="H450" t="s">
        <v>14</v>
      </c>
      <c r="I450" t="s">
        <v>18</v>
      </c>
      <c r="J450">
        <v>6</v>
      </c>
      <c r="K450">
        <v>98903</v>
      </c>
      <c r="L450">
        <v>2022</v>
      </c>
    </row>
    <row r="451" spans="1:12" x14ac:dyDescent="0.35">
      <c r="A451">
        <v>450</v>
      </c>
      <c r="B451" s="1">
        <v>44979</v>
      </c>
      <c r="C451" t="s">
        <v>27</v>
      </c>
      <c r="D451" t="s">
        <v>13</v>
      </c>
      <c r="E451">
        <v>1.71</v>
      </c>
      <c r="F451">
        <v>4.9800000000000004</v>
      </c>
      <c r="G451">
        <v>257372</v>
      </c>
      <c r="H451" t="s">
        <v>17</v>
      </c>
      <c r="I451" t="s">
        <v>15</v>
      </c>
      <c r="J451">
        <v>23</v>
      </c>
      <c r="K451">
        <v>150920</v>
      </c>
      <c r="L451">
        <v>2023</v>
      </c>
    </row>
    <row r="452" spans="1:12" x14ac:dyDescent="0.35">
      <c r="A452">
        <v>451</v>
      </c>
      <c r="B452" s="1">
        <v>44259</v>
      </c>
      <c r="C452" t="s">
        <v>16</v>
      </c>
      <c r="D452" t="s">
        <v>23</v>
      </c>
      <c r="E452">
        <v>4.6900000000000004</v>
      </c>
      <c r="F452">
        <v>0.66</v>
      </c>
      <c r="G452">
        <v>600251</v>
      </c>
      <c r="H452" t="s">
        <v>14</v>
      </c>
      <c r="I452" t="s">
        <v>15</v>
      </c>
      <c r="J452">
        <v>25</v>
      </c>
      <c r="K452">
        <v>149073</v>
      </c>
      <c r="L452">
        <v>2021</v>
      </c>
    </row>
    <row r="453" spans="1:12" x14ac:dyDescent="0.35">
      <c r="A453">
        <v>452</v>
      </c>
      <c r="B453" s="1">
        <v>45387</v>
      </c>
      <c r="C453" t="s">
        <v>16</v>
      </c>
      <c r="D453" t="s">
        <v>13</v>
      </c>
      <c r="E453">
        <v>1.9</v>
      </c>
      <c r="F453">
        <v>2.96</v>
      </c>
      <c r="G453">
        <v>846518</v>
      </c>
      <c r="H453" t="s">
        <v>22</v>
      </c>
      <c r="I453" t="s">
        <v>15</v>
      </c>
      <c r="J453">
        <v>22</v>
      </c>
      <c r="K453">
        <v>189836</v>
      </c>
      <c r="L453">
        <v>2024</v>
      </c>
    </row>
    <row r="454" spans="1:12" x14ac:dyDescent="0.35">
      <c r="A454">
        <v>453</v>
      </c>
      <c r="B454" s="1">
        <v>45100</v>
      </c>
      <c r="C454" t="s">
        <v>30</v>
      </c>
      <c r="D454" t="s">
        <v>23</v>
      </c>
      <c r="E454">
        <v>3.01</v>
      </c>
      <c r="F454">
        <v>9.65</v>
      </c>
      <c r="G454">
        <v>960731</v>
      </c>
      <c r="H454" t="s">
        <v>14</v>
      </c>
      <c r="I454" t="s">
        <v>18</v>
      </c>
      <c r="J454">
        <v>35</v>
      </c>
      <c r="K454">
        <v>18069</v>
      </c>
      <c r="L454">
        <v>2023</v>
      </c>
    </row>
    <row r="455" spans="1:12" x14ac:dyDescent="0.35">
      <c r="A455">
        <v>454</v>
      </c>
      <c r="B455" s="1">
        <v>45492</v>
      </c>
      <c r="C455" t="s">
        <v>16</v>
      </c>
      <c r="D455" t="s">
        <v>13</v>
      </c>
      <c r="E455">
        <v>2.96</v>
      </c>
      <c r="F455">
        <v>6.2</v>
      </c>
      <c r="G455">
        <v>389861</v>
      </c>
      <c r="H455" t="s">
        <v>26</v>
      </c>
      <c r="I455" t="s">
        <v>15</v>
      </c>
      <c r="J455">
        <v>9</v>
      </c>
      <c r="K455">
        <v>198548</v>
      </c>
      <c r="L455">
        <v>2024</v>
      </c>
    </row>
    <row r="456" spans="1:12" x14ac:dyDescent="0.35">
      <c r="A456">
        <v>455</v>
      </c>
      <c r="B456" s="1">
        <v>45289</v>
      </c>
      <c r="C456" t="s">
        <v>28</v>
      </c>
      <c r="D456" t="s">
        <v>29</v>
      </c>
      <c r="E456">
        <v>1.85</v>
      </c>
      <c r="F456">
        <v>7.66</v>
      </c>
      <c r="G456">
        <v>216427</v>
      </c>
      <c r="H456" t="s">
        <v>14</v>
      </c>
      <c r="I456" t="s">
        <v>18</v>
      </c>
      <c r="J456">
        <v>32</v>
      </c>
      <c r="K456">
        <v>150177</v>
      </c>
      <c r="L456">
        <v>2023</v>
      </c>
    </row>
    <row r="457" spans="1:12" x14ac:dyDescent="0.35">
      <c r="A457">
        <v>456</v>
      </c>
      <c r="B457" s="1">
        <v>45177</v>
      </c>
      <c r="C457" t="s">
        <v>16</v>
      </c>
      <c r="D457" t="s">
        <v>29</v>
      </c>
      <c r="E457">
        <v>3.66</v>
      </c>
      <c r="F457">
        <v>9.9700000000000006</v>
      </c>
      <c r="G457">
        <v>625430</v>
      </c>
      <c r="H457" t="s">
        <v>22</v>
      </c>
      <c r="I457" t="s">
        <v>18</v>
      </c>
      <c r="J457">
        <v>17</v>
      </c>
      <c r="K457">
        <v>61760</v>
      </c>
      <c r="L457">
        <v>2023</v>
      </c>
    </row>
    <row r="458" spans="1:12" x14ac:dyDescent="0.35">
      <c r="A458">
        <v>457</v>
      </c>
      <c r="B458" s="1">
        <v>44209</v>
      </c>
      <c r="C458" t="s">
        <v>24</v>
      </c>
      <c r="D458" t="s">
        <v>25</v>
      </c>
      <c r="E458">
        <v>0.95</v>
      </c>
      <c r="F458">
        <v>5.43</v>
      </c>
      <c r="G458">
        <v>587664</v>
      </c>
      <c r="H458" t="s">
        <v>21</v>
      </c>
      <c r="I458" t="s">
        <v>15</v>
      </c>
      <c r="J458">
        <v>33</v>
      </c>
      <c r="K458">
        <v>281641</v>
      </c>
      <c r="L458">
        <v>2021</v>
      </c>
    </row>
    <row r="459" spans="1:12" x14ac:dyDescent="0.35">
      <c r="A459">
        <v>458</v>
      </c>
      <c r="B459" s="1">
        <v>44577</v>
      </c>
      <c r="C459" t="s">
        <v>27</v>
      </c>
      <c r="D459" t="s">
        <v>19</v>
      </c>
      <c r="E459">
        <v>0.62</v>
      </c>
      <c r="F459">
        <v>3.29</v>
      </c>
      <c r="G459">
        <v>967166</v>
      </c>
      <c r="H459" t="s">
        <v>17</v>
      </c>
      <c r="I459" t="s">
        <v>18</v>
      </c>
      <c r="J459">
        <v>7</v>
      </c>
      <c r="K459">
        <v>172504</v>
      </c>
      <c r="L459">
        <v>2022</v>
      </c>
    </row>
    <row r="460" spans="1:12" x14ac:dyDescent="0.35">
      <c r="A460">
        <v>459</v>
      </c>
      <c r="B460" s="1">
        <v>44953</v>
      </c>
      <c r="C460" t="s">
        <v>24</v>
      </c>
      <c r="D460" t="s">
        <v>19</v>
      </c>
      <c r="E460">
        <v>0.37</v>
      </c>
      <c r="F460">
        <v>4.25</v>
      </c>
      <c r="G460">
        <v>941859</v>
      </c>
      <c r="H460" t="s">
        <v>14</v>
      </c>
      <c r="I460" t="s">
        <v>18</v>
      </c>
      <c r="J460">
        <v>6</v>
      </c>
      <c r="K460">
        <v>215963</v>
      </c>
      <c r="L460">
        <v>2023</v>
      </c>
    </row>
    <row r="461" spans="1:12" x14ac:dyDescent="0.35">
      <c r="A461">
        <v>460</v>
      </c>
      <c r="B461" s="1">
        <v>45493</v>
      </c>
      <c r="C461" t="s">
        <v>20</v>
      </c>
      <c r="D461" t="s">
        <v>13</v>
      </c>
      <c r="E461">
        <v>1.24</v>
      </c>
      <c r="F461">
        <v>9.6199999999999992</v>
      </c>
      <c r="G461">
        <v>178374</v>
      </c>
      <c r="H461" t="s">
        <v>14</v>
      </c>
      <c r="I461" t="s">
        <v>18</v>
      </c>
      <c r="J461">
        <v>47</v>
      </c>
      <c r="K461">
        <v>89672</v>
      </c>
      <c r="L461">
        <v>2024</v>
      </c>
    </row>
    <row r="462" spans="1:12" x14ac:dyDescent="0.35">
      <c r="A462">
        <v>461</v>
      </c>
      <c r="B462" s="1">
        <v>44224</v>
      </c>
      <c r="C462" t="s">
        <v>30</v>
      </c>
      <c r="D462" t="s">
        <v>23</v>
      </c>
      <c r="E462">
        <v>0.33</v>
      </c>
      <c r="F462">
        <v>1.78</v>
      </c>
      <c r="G462">
        <v>521672</v>
      </c>
      <c r="H462" t="s">
        <v>14</v>
      </c>
      <c r="I462" t="s">
        <v>15</v>
      </c>
      <c r="J462">
        <v>5</v>
      </c>
      <c r="K462">
        <v>160738</v>
      </c>
      <c r="L462">
        <v>2021</v>
      </c>
    </row>
    <row r="463" spans="1:12" x14ac:dyDescent="0.35">
      <c r="A463">
        <v>462</v>
      </c>
      <c r="B463" s="1">
        <v>45055</v>
      </c>
      <c r="C463" t="s">
        <v>24</v>
      </c>
      <c r="D463" t="s">
        <v>13</v>
      </c>
      <c r="E463">
        <v>2.2200000000000002</v>
      </c>
      <c r="F463">
        <v>9.15</v>
      </c>
      <c r="G463">
        <v>219220</v>
      </c>
      <c r="H463" t="s">
        <v>26</v>
      </c>
      <c r="I463" t="s">
        <v>15</v>
      </c>
      <c r="J463">
        <v>15</v>
      </c>
      <c r="K463">
        <v>39262</v>
      </c>
      <c r="L463">
        <v>2023</v>
      </c>
    </row>
    <row r="464" spans="1:12" x14ac:dyDescent="0.35">
      <c r="A464">
        <v>463</v>
      </c>
      <c r="B464" s="1">
        <v>45293</v>
      </c>
      <c r="C464" t="s">
        <v>28</v>
      </c>
      <c r="D464" t="s">
        <v>13</v>
      </c>
      <c r="E464">
        <v>4.26</v>
      </c>
      <c r="F464">
        <v>7.55</v>
      </c>
      <c r="G464">
        <v>709486</v>
      </c>
      <c r="H464" t="s">
        <v>26</v>
      </c>
      <c r="I464" t="s">
        <v>15</v>
      </c>
      <c r="J464">
        <v>3</v>
      </c>
      <c r="K464">
        <v>150365</v>
      </c>
      <c r="L464">
        <v>2024</v>
      </c>
    </row>
    <row r="465" spans="1:12" x14ac:dyDescent="0.35">
      <c r="A465">
        <v>464</v>
      </c>
      <c r="B465" s="1">
        <v>45525</v>
      </c>
      <c r="C465" t="s">
        <v>27</v>
      </c>
      <c r="D465" t="s">
        <v>25</v>
      </c>
      <c r="E465">
        <v>4.53</v>
      </c>
      <c r="F465">
        <v>6.35</v>
      </c>
      <c r="G465">
        <v>460533</v>
      </c>
      <c r="H465" t="s">
        <v>22</v>
      </c>
      <c r="I465" t="s">
        <v>15</v>
      </c>
      <c r="J465">
        <v>43</v>
      </c>
      <c r="K465">
        <v>287778</v>
      </c>
      <c r="L465">
        <v>2024</v>
      </c>
    </row>
    <row r="466" spans="1:12" x14ac:dyDescent="0.35">
      <c r="A466">
        <v>465</v>
      </c>
      <c r="B466" s="1">
        <v>44928</v>
      </c>
      <c r="C466" t="s">
        <v>20</v>
      </c>
      <c r="D466" t="s">
        <v>29</v>
      </c>
      <c r="E466">
        <v>0.65</v>
      </c>
      <c r="F466">
        <v>8.3800000000000008</v>
      </c>
      <c r="G466">
        <v>646723</v>
      </c>
      <c r="H466" t="s">
        <v>17</v>
      </c>
      <c r="I466" t="s">
        <v>15</v>
      </c>
      <c r="J466">
        <v>18</v>
      </c>
      <c r="K466">
        <v>64074</v>
      </c>
      <c r="L466">
        <v>2023</v>
      </c>
    </row>
    <row r="467" spans="1:12" x14ac:dyDescent="0.35">
      <c r="A467">
        <v>466</v>
      </c>
      <c r="B467" s="1">
        <v>45595</v>
      </c>
      <c r="C467" t="s">
        <v>30</v>
      </c>
      <c r="D467" t="s">
        <v>13</v>
      </c>
      <c r="E467">
        <v>4.58</v>
      </c>
      <c r="F467">
        <v>4.95</v>
      </c>
      <c r="G467">
        <v>631371</v>
      </c>
      <c r="H467" t="s">
        <v>14</v>
      </c>
      <c r="I467" t="s">
        <v>18</v>
      </c>
      <c r="J467">
        <v>14</v>
      </c>
      <c r="K467">
        <v>17143</v>
      </c>
      <c r="L467">
        <v>2024</v>
      </c>
    </row>
    <row r="468" spans="1:12" x14ac:dyDescent="0.35">
      <c r="A468">
        <v>467</v>
      </c>
      <c r="B468" s="1">
        <v>45408</v>
      </c>
      <c r="C468" t="s">
        <v>20</v>
      </c>
      <c r="D468" t="s">
        <v>13</v>
      </c>
      <c r="E468">
        <v>2.5099999999999998</v>
      </c>
      <c r="F468">
        <v>1.32</v>
      </c>
      <c r="G468">
        <v>248159</v>
      </c>
      <c r="H468" t="s">
        <v>21</v>
      </c>
      <c r="I468" t="s">
        <v>18</v>
      </c>
      <c r="J468">
        <v>29</v>
      </c>
      <c r="K468">
        <v>263302</v>
      </c>
      <c r="L468">
        <v>2024</v>
      </c>
    </row>
    <row r="469" spans="1:12" x14ac:dyDescent="0.35">
      <c r="A469">
        <v>468</v>
      </c>
      <c r="B469" s="1">
        <v>45129</v>
      </c>
      <c r="C469" t="s">
        <v>20</v>
      </c>
      <c r="D469" t="s">
        <v>13</v>
      </c>
      <c r="E469">
        <v>2.94</v>
      </c>
      <c r="F469">
        <v>2.08</v>
      </c>
      <c r="G469">
        <v>721248</v>
      </c>
      <c r="H469" t="s">
        <v>14</v>
      </c>
      <c r="I469" t="s">
        <v>18</v>
      </c>
      <c r="J469">
        <v>7</v>
      </c>
      <c r="K469">
        <v>11260</v>
      </c>
      <c r="L469">
        <v>2023</v>
      </c>
    </row>
    <row r="470" spans="1:12" x14ac:dyDescent="0.35">
      <c r="A470">
        <v>469</v>
      </c>
      <c r="B470" s="1">
        <v>44535</v>
      </c>
      <c r="C470" t="s">
        <v>20</v>
      </c>
      <c r="D470" t="s">
        <v>13</v>
      </c>
      <c r="E470">
        <v>1.43</v>
      </c>
      <c r="F470">
        <v>0.11</v>
      </c>
      <c r="G470">
        <v>234400</v>
      </c>
      <c r="H470" t="s">
        <v>14</v>
      </c>
      <c r="I470" t="s">
        <v>18</v>
      </c>
      <c r="J470">
        <v>50</v>
      </c>
      <c r="K470">
        <v>272475</v>
      </c>
      <c r="L470">
        <v>2021</v>
      </c>
    </row>
    <row r="471" spans="1:12" x14ac:dyDescent="0.35">
      <c r="A471">
        <v>470</v>
      </c>
      <c r="B471" s="1">
        <v>43868</v>
      </c>
      <c r="C471" t="s">
        <v>28</v>
      </c>
      <c r="D471" t="s">
        <v>29</v>
      </c>
      <c r="E471">
        <v>2.3199999999999998</v>
      </c>
      <c r="F471">
        <v>4.67</v>
      </c>
      <c r="G471">
        <v>65119</v>
      </c>
      <c r="H471" t="s">
        <v>26</v>
      </c>
      <c r="I471" t="s">
        <v>18</v>
      </c>
      <c r="J471">
        <v>2</v>
      </c>
      <c r="K471">
        <v>119348</v>
      </c>
      <c r="L471">
        <v>2020</v>
      </c>
    </row>
    <row r="472" spans="1:12" x14ac:dyDescent="0.35">
      <c r="A472">
        <v>471</v>
      </c>
      <c r="B472" s="1">
        <v>45391</v>
      </c>
      <c r="C472" t="s">
        <v>12</v>
      </c>
      <c r="D472" t="s">
        <v>29</v>
      </c>
      <c r="E472">
        <v>2.17</v>
      </c>
      <c r="F472">
        <v>7.18</v>
      </c>
      <c r="G472">
        <v>359403</v>
      </c>
      <c r="H472" t="s">
        <v>21</v>
      </c>
      <c r="I472" t="s">
        <v>15</v>
      </c>
      <c r="J472">
        <v>33</v>
      </c>
      <c r="K472">
        <v>280477</v>
      </c>
      <c r="L472">
        <v>2024</v>
      </c>
    </row>
    <row r="473" spans="1:12" x14ac:dyDescent="0.35">
      <c r="A473">
        <v>472</v>
      </c>
      <c r="B473" s="1">
        <v>45610</v>
      </c>
      <c r="C473" t="s">
        <v>27</v>
      </c>
      <c r="D473" t="s">
        <v>13</v>
      </c>
      <c r="E473">
        <v>2.0499999999999998</v>
      </c>
      <c r="F473">
        <v>6.28</v>
      </c>
      <c r="G473">
        <v>883658</v>
      </c>
      <c r="H473" t="s">
        <v>14</v>
      </c>
      <c r="I473" t="s">
        <v>18</v>
      </c>
      <c r="J473">
        <v>37</v>
      </c>
      <c r="K473">
        <v>234424</v>
      </c>
      <c r="L473">
        <v>2024</v>
      </c>
    </row>
    <row r="474" spans="1:12" x14ac:dyDescent="0.35">
      <c r="A474">
        <v>473</v>
      </c>
      <c r="B474" s="1">
        <v>44406</v>
      </c>
      <c r="C474" t="s">
        <v>24</v>
      </c>
      <c r="D474" t="s">
        <v>23</v>
      </c>
      <c r="E474">
        <v>3.25</v>
      </c>
      <c r="F474">
        <v>5.54</v>
      </c>
      <c r="G474">
        <v>736978</v>
      </c>
      <c r="H474" t="s">
        <v>17</v>
      </c>
      <c r="I474" t="s">
        <v>18</v>
      </c>
      <c r="J474">
        <v>9</v>
      </c>
      <c r="K474">
        <v>282662</v>
      </c>
      <c r="L474">
        <v>2021</v>
      </c>
    </row>
    <row r="475" spans="1:12" x14ac:dyDescent="0.35">
      <c r="A475">
        <v>474</v>
      </c>
      <c r="B475" s="1">
        <v>44712</v>
      </c>
      <c r="C475" t="s">
        <v>30</v>
      </c>
      <c r="D475" t="s">
        <v>23</v>
      </c>
      <c r="E475">
        <v>3.02</v>
      </c>
      <c r="F475">
        <v>6.36</v>
      </c>
      <c r="G475">
        <v>421343</v>
      </c>
      <c r="H475" t="s">
        <v>26</v>
      </c>
      <c r="I475" t="s">
        <v>15</v>
      </c>
      <c r="J475">
        <v>21</v>
      </c>
      <c r="K475">
        <v>261650</v>
      </c>
      <c r="L475">
        <v>2022</v>
      </c>
    </row>
    <row r="476" spans="1:12" x14ac:dyDescent="0.35">
      <c r="A476">
        <v>475</v>
      </c>
      <c r="B476" s="1">
        <v>44193</v>
      </c>
      <c r="C476" t="s">
        <v>30</v>
      </c>
      <c r="D476" t="s">
        <v>23</v>
      </c>
      <c r="E476">
        <v>0.68</v>
      </c>
      <c r="F476">
        <v>1.0900000000000001</v>
      </c>
      <c r="G476">
        <v>228037</v>
      </c>
      <c r="H476" t="s">
        <v>22</v>
      </c>
      <c r="I476" t="s">
        <v>15</v>
      </c>
      <c r="J476">
        <v>4</v>
      </c>
      <c r="K476">
        <v>289950</v>
      </c>
      <c r="L476">
        <v>2020</v>
      </c>
    </row>
    <row r="477" spans="1:12" x14ac:dyDescent="0.35">
      <c r="A477">
        <v>476</v>
      </c>
      <c r="B477" s="1">
        <v>45514</v>
      </c>
      <c r="C477" t="s">
        <v>20</v>
      </c>
      <c r="D477" t="s">
        <v>13</v>
      </c>
      <c r="E477">
        <v>4.79</v>
      </c>
      <c r="F477">
        <v>4.7</v>
      </c>
      <c r="G477">
        <v>848162</v>
      </c>
      <c r="H477" t="s">
        <v>14</v>
      </c>
      <c r="I477" t="s">
        <v>15</v>
      </c>
      <c r="J477">
        <v>36</v>
      </c>
      <c r="K477">
        <v>23944</v>
      </c>
      <c r="L477">
        <v>2024</v>
      </c>
    </row>
    <row r="478" spans="1:12" x14ac:dyDescent="0.35">
      <c r="A478">
        <v>477</v>
      </c>
      <c r="B478" s="1">
        <v>44050</v>
      </c>
      <c r="C478" t="s">
        <v>28</v>
      </c>
      <c r="D478" t="s">
        <v>23</v>
      </c>
      <c r="E478">
        <v>0.81</v>
      </c>
      <c r="F478">
        <v>5.05</v>
      </c>
      <c r="G478">
        <v>340634</v>
      </c>
      <c r="H478" t="s">
        <v>21</v>
      </c>
      <c r="I478" t="s">
        <v>15</v>
      </c>
      <c r="J478">
        <v>45</v>
      </c>
      <c r="K478">
        <v>293500</v>
      </c>
      <c r="L478">
        <v>2020</v>
      </c>
    </row>
    <row r="479" spans="1:12" x14ac:dyDescent="0.35">
      <c r="A479">
        <v>478</v>
      </c>
      <c r="B479" s="1">
        <v>45138</v>
      </c>
      <c r="C479" t="s">
        <v>16</v>
      </c>
      <c r="D479" t="s">
        <v>29</v>
      </c>
      <c r="E479">
        <v>4.99</v>
      </c>
      <c r="F479">
        <v>3.79</v>
      </c>
      <c r="G479">
        <v>278705</v>
      </c>
      <c r="H479" t="s">
        <v>21</v>
      </c>
      <c r="I479" t="s">
        <v>18</v>
      </c>
      <c r="J479">
        <v>50</v>
      </c>
      <c r="K479">
        <v>140027</v>
      </c>
      <c r="L479">
        <v>2023</v>
      </c>
    </row>
    <row r="480" spans="1:12" x14ac:dyDescent="0.35">
      <c r="A480">
        <v>479</v>
      </c>
      <c r="B480" s="1">
        <v>44310</v>
      </c>
      <c r="C480" t="s">
        <v>12</v>
      </c>
      <c r="D480" t="s">
        <v>19</v>
      </c>
      <c r="E480">
        <v>3.71</v>
      </c>
      <c r="F480">
        <v>0.85</v>
      </c>
      <c r="G480">
        <v>673399</v>
      </c>
      <c r="H480" t="s">
        <v>17</v>
      </c>
      <c r="I480" t="s">
        <v>18</v>
      </c>
      <c r="J480">
        <v>26</v>
      </c>
      <c r="K480">
        <v>297599</v>
      </c>
      <c r="L480">
        <v>2021</v>
      </c>
    </row>
    <row r="481" spans="1:12" x14ac:dyDescent="0.35">
      <c r="A481">
        <v>480</v>
      </c>
      <c r="B481" s="1">
        <v>44428</v>
      </c>
      <c r="C481" t="s">
        <v>27</v>
      </c>
      <c r="D481" t="s">
        <v>29</v>
      </c>
      <c r="E481">
        <v>2.99</v>
      </c>
      <c r="F481">
        <v>4.84</v>
      </c>
      <c r="G481">
        <v>793130</v>
      </c>
      <c r="H481" t="s">
        <v>26</v>
      </c>
      <c r="I481" t="s">
        <v>15</v>
      </c>
      <c r="J481">
        <v>45</v>
      </c>
      <c r="K481">
        <v>130071</v>
      </c>
      <c r="L481">
        <v>2021</v>
      </c>
    </row>
    <row r="482" spans="1:12" x14ac:dyDescent="0.35">
      <c r="A482">
        <v>481</v>
      </c>
      <c r="B482" s="1">
        <v>44284</v>
      </c>
      <c r="C482" t="s">
        <v>28</v>
      </c>
      <c r="D482" t="s">
        <v>23</v>
      </c>
      <c r="E482">
        <v>0.73</v>
      </c>
      <c r="F482">
        <v>7.94</v>
      </c>
      <c r="G482">
        <v>483804</v>
      </c>
      <c r="H482" t="s">
        <v>22</v>
      </c>
      <c r="I482" t="s">
        <v>18</v>
      </c>
      <c r="J482">
        <v>12</v>
      </c>
      <c r="K482">
        <v>173455</v>
      </c>
      <c r="L482">
        <v>2021</v>
      </c>
    </row>
    <row r="483" spans="1:12" x14ac:dyDescent="0.35">
      <c r="A483">
        <v>482</v>
      </c>
      <c r="B483" s="1">
        <v>45478</v>
      </c>
      <c r="C483" t="s">
        <v>28</v>
      </c>
      <c r="D483" t="s">
        <v>29</v>
      </c>
      <c r="E483">
        <v>1.34</v>
      </c>
      <c r="F483">
        <v>1.77</v>
      </c>
      <c r="G483">
        <v>164940</v>
      </c>
      <c r="H483" t="s">
        <v>22</v>
      </c>
      <c r="I483" t="s">
        <v>18</v>
      </c>
      <c r="J483">
        <v>46</v>
      </c>
      <c r="K483">
        <v>81982</v>
      </c>
      <c r="L483">
        <v>2024</v>
      </c>
    </row>
    <row r="484" spans="1:12" x14ac:dyDescent="0.35">
      <c r="A484">
        <v>483</v>
      </c>
      <c r="B484" s="1">
        <v>45641</v>
      </c>
      <c r="C484" t="s">
        <v>16</v>
      </c>
      <c r="D484" t="s">
        <v>19</v>
      </c>
      <c r="E484">
        <v>3.14</v>
      </c>
      <c r="F484">
        <v>4.58</v>
      </c>
      <c r="G484">
        <v>238597</v>
      </c>
      <c r="H484" t="s">
        <v>14</v>
      </c>
      <c r="I484" t="s">
        <v>15</v>
      </c>
      <c r="J484">
        <v>11</v>
      </c>
      <c r="K484">
        <v>289065</v>
      </c>
      <c r="L484">
        <v>2024</v>
      </c>
    </row>
    <row r="485" spans="1:12" x14ac:dyDescent="0.35">
      <c r="A485">
        <v>484</v>
      </c>
      <c r="B485" s="1">
        <v>45608</v>
      </c>
      <c r="C485" t="s">
        <v>27</v>
      </c>
      <c r="D485" t="s">
        <v>25</v>
      </c>
      <c r="E485">
        <v>1.54</v>
      </c>
      <c r="F485">
        <v>6.68</v>
      </c>
      <c r="G485">
        <v>540456</v>
      </c>
      <c r="H485" t="s">
        <v>22</v>
      </c>
      <c r="I485" t="s">
        <v>18</v>
      </c>
      <c r="J485">
        <v>13</v>
      </c>
      <c r="K485">
        <v>142912</v>
      </c>
      <c r="L485">
        <v>2024</v>
      </c>
    </row>
    <row r="486" spans="1:12" x14ac:dyDescent="0.35">
      <c r="A486">
        <v>485</v>
      </c>
      <c r="B486" s="1">
        <v>44075</v>
      </c>
      <c r="C486" t="s">
        <v>16</v>
      </c>
      <c r="D486" t="s">
        <v>25</v>
      </c>
      <c r="E486">
        <v>4.29</v>
      </c>
      <c r="F486">
        <v>9.8800000000000008</v>
      </c>
      <c r="G486">
        <v>101889</v>
      </c>
      <c r="H486" t="s">
        <v>14</v>
      </c>
      <c r="I486" t="s">
        <v>15</v>
      </c>
      <c r="J486">
        <v>22</v>
      </c>
      <c r="K486">
        <v>262493</v>
      </c>
      <c r="L486">
        <v>2020</v>
      </c>
    </row>
    <row r="487" spans="1:12" x14ac:dyDescent="0.35">
      <c r="A487">
        <v>486</v>
      </c>
      <c r="B487" s="1">
        <v>44433</v>
      </c>
      <c r="C487" t="s">
        <v>28</v>
      </c>
      <c r="D487" t="s">
        <v>19</v>
      </c>
      <c r="E487">
        <v>1.57</v>
      </c>
      <c r="F487">
        <v>8.3800000000000008</v>
      </c>
      <c r="G487">
        <v>618259</v>
      </c>
      <c r="H487" t="s">
        <v>26</v>
      </c>
      <c r="I487" t="s">
        <v>18</v>
      </c>
      <c r="J487">
        <v>1</v>
      </c>
      <c r="K487">
        <v>232377</v>
      </c>
      <c r="L487">
        <v>2021</v>
      </c>
    </row>
    <row r="488" spans="1:12" x14ac:dyDescent="0.35">
      <c r="A488">
        <v>487</v>
      </c>
      <c r="B488" s="1">
        <v>44353</v>
      </c>
      <c r="C488" t="s">
        <v>16</v>
      </c>
      <c r="D488" t="s">
        <v>19</v>
      </c>
      <c r="E488">
        <v>2.72</v>
      </c>
      <c r="F488">
        <v>1.91</v>
      </c>
      <c r="G488">
        <v>568668</v>
      </c>
      <c r="H488" t="s">
        <v>21</v>
      </c>
      <c r="I488" t="s">
        <v>18</v>
      </c>
      <c r="J488">
        <v>37</v>
      </c>
      <c r="K488">
        <v>262828</v>
      </c>
      <c r="L488">
        <v>2021</v>
      </c>
    </row>
    <row r="489" spans="1:12" x14ac:dyDescent="0.35">
      <c r="A489">
        <v>488</v>
      </c>
      <c r="B489" s="1">
        <v>45442</v>
      </c>
      <c r="C489" t="s">
        <v>24</v>
      </c>
      <c r="D489" t="s">
        <v>19</v>
      </c>
      <c r="E489">
        <v>1.85</v>
      </c>
      <c r="F489">
        <v>7.97</v>
      </c>
      <c r="G489">
        <v>762099</v>
      </c>
      <c r="H489" t="s">
        <v>26</v>
      </c>
      <c r="I489" t="s">
        <v>18</v>
      </c>
      <c r="J489">
        <v>8</v>
      </c>
      <c r="K489">
        <v>224577</v>
      </c>
      <c r="L489">
        <v>2024</v>
      </c>
    </row>
    <row r="490" spans="1:12" x14ac:dyDescent="0.35">
      <c r="A490">
        <v>489</v>
      </c>
      <c r="B490" s="1">
        <v>45421</v>
      </c>
      <c r="C490" t="s">
        <v>28</v>
      </c>
      <c r="D490" t="s">
        <v>23</v>
      </c>
      <c r="E490">
        <v>2.2799999999999998</v>
      </c>
      <c r="F490">
        <v>0.28000000000000003</v>
      </c>
      <c r="G490">
        <v>501040</v>
      </c>
      <c r="H490" t="s">
        <v>21</v>
      </c>
      <c r="I490" t="s">
        <v>18</v>
      </c>
      <c r="J490">
        <v>46</v>
      </c>
      <c r="K490">
        <v>72953</v>
      </c>
      <c r="L490">
        <v>2024</v>
      </c>
    </row>
    <row r="491" spans="1:12" x14ac:dyDescent="0.35">
      <c r="A491">
        <v>490</v>
      </c>
      <c r="B491" s="1">
        <v>45223</v>
      </c>
      <c r="C491" t="s">
        <v>20</v>
      </c>
      <c r="D491" t="s">
        <v>29</v>
      </c>
      <c r="E491">
        <v>2.35</v>
      </c>
      <c r="F491">
        <v>8.18</v>
      </c>
      <c r="G491">
        <v>505832</v>
      </c>
      <c r="H491" t="s">
        <v>26</v>
      </c>
      <c r="I491" t="s">
        <v>18</v>
      </c>
      <c r="J491">
        <v>5</v>
      </c>
      <c r="K491">
        <v>73744</v>
      </c>
      <c r="L491">
        <v>2023</v>
      </c>
    </row>
    <row r="492" spans="1:12" x14ac:dyDescent="0.35">
      <c r="A492">
        <v>491</v>
      </c>
      <c r="B492" s="1">
        <v>44182</v>
      </c>
      <c r="C492" t="s">
        <v>20</v>
      </c>
      <c r="D492" t="s">
        <v>29</v>
      </c>
      <c r="E492">
        <v>2.86</v>
      </c>
      <c r="F492">
        <v>3.09</v>
      </c>
      <c r="G492">
        <v>487591</v>
      </c>
      <c r="H492" t="s">
        <v>26</v>
      </c>
      <c r="I492" t="s">
        <v>15</v>
      </c>
      <c r="J492">
        <v>34</v>
      </c>
      <c r="K492">
        <v>179838</v>
      </c>
      <c r="L492">
        <v>2020</v>
      </c>
    </row>
    <row r="493" spans="1:12" x14ac:dyDescent="0.35">
      <c r="A493">
        <v>492</v>
      </c>
      <c r="B493" s="1">
        <v>44153</v>
      </c>
      <c r="C493" t="s">
        <v>12</v>
      </c>
      <c r="D493" t="s">
        <v>23</v>
      </c>
      <c r="E493">
        <v>0.35</v>
      </c>
      <c r="F493">
        <v>2.72</v>
      </c>
      <c r="G493">
        <v>375092</v>
      </c>
      <c r="H493" t="s">
        <v>14</v>
      </c>
      <c r="I493" t="s">
        <v>18</v>
      </c>
      <c r="J493">
        <v>24</v>
      </c>
      <c r="K493">
        <v>280025</v>
      </c>
      <c r="L493">
        <v>2020</v>
      </c>
    </row>
    <row r="494" spans="1:12" x14ac:dyDescent="0.35">
      <c r="A494">
        <v>493</v>
      </c>
      <c r="B494" s="1">
        <v>45045</v>
      </c>
      <c r="C494" t="s">
        <v>24</v>
      </c>
      <c r="D494" t="s">
        <v>25</v>
      </c>
      <c r="E494">
        <v>2.12</v>
      </c>
      <c r="F494">
        <v>6.93</v>
      </c>
      <c r="G494">
        <v>935112</v>
      </c>
      <c r="H494" t="s">
        <v>26</v>
      </c>
      <c r="I494" t="s">
        <v>15</v>
      </c>
      <c r="J494">
        <v>46</v>
      </c>
      <c r="K494">
        <v>87396</v>
      </c>
      <c r="L494">
        <v>2023</v>
      </c>
    </row>
    <row r="495" spans="1:12" x14ac:dyDescent="0.35">
      <c r="A495">
        <v>494</v>
      </c>
      <c r="B495" s="1">
        <v>45221</v>
      </c>
      <c r="C495" t="s">
        <v>20</v>
      </c>
      <c r="D495" t="s">
        <v>23</v>
      </c>
      <c r="E495">
        <v>2.93</v>
      </c>
      <c r="F495">
        <v>9.33</v>
      </c>
      <c r="G495">
        <v>292772</v>
      </c>
      <c r="H495" t="s">
        <v>17</v>
      </c>
      <c r="I495" t="s">
        <v>18</v>
      </c>
      <c r="J495">
        <v>24</v>
      </c>
      <c r="K495">
        <v>265222</v>
      </c>
      <c r="L495">
        <v>2023</v>
      </c>
    </row>
    <row r="496" spans="1:12" x14ac:dyDescent="0.35">
      <c r="A496">
        <v>495</v>
      </c>
      <c r="B496" s="1">
        <v>44222</v>
      </c>
      <c r="C496" t="s">
        <v>27</v>
      </c>
      <c r="D496" t="s">
        <v>19</v>
      </c>
      <c r="E496">
        <v>4.91</v>
      </c>
      <c r="F496">
        <v>9.52</v>
      </c>
      <c r="G496">
        <v>647988</v>
      </c>
      <c r="H496" t="s">
        <v>17</v>
      </c>
      <c r="I496" t="s">
        <v>18</v>
      </c>
      <c r="J496">
        <v>39</v>
      </c>
      <c r="K496">
        <v>30878</v>
      </c>
      <c r="L496">
        <v>2021</v>
      </c>
    </row>
    <row r="497" spans="1:12" x14ac:dyDescent="0.35">
      <c r="A497">
        <v>496</v>
      </c>
      <c r="B497" s="1">
        <v>44075</v>
      </c>
      <c r="C497" t="s">
        <v>30</v>
      </c>
      <c r="D497" t="s">
        <v>29</v>
      </c>
      <c r="E497">
        <v>3.4</v>
      </c>
      <c r="F497">
        <v>1.57</v>
      </c>
      <c r="G497">
        <v>228221</v>
      </c>
      <c r="H497" t="s">
        <v>21</v>
      </c>
      <c r="I497" t="s">
        <v>15</v>
      </c>
      <c r="J497">
        <v>18</v>
      </c>
      <c r="K497">
        <v>31545</v>
      </c>
      <c r="L497">
        <v>2020</v>
      </c>
    </row>
    <row r="498" spans="1:12" x14ac:dyDescent="0.35">
      <c r="A498">
        <v>497</v>
      </c>
      <c r="B498" s="1">
        <v>44619</v>
      </c>
      <c r="C498" t="s">
        <v>12</v>
      </c>
      <c r="D498" t="s">
        <v>23</v>
      </c>
      <c r="E498">
        <v>3.32</v>
      </c>
      <c r="F498">
        <v>8.18</v>
      </c>
      <c r="G498">
        <v>405284</v>
      </c>
      <c r="H498" t="s">
        <v>14</v>
      </c>
      <c r="I498" t="s">
        <v>18</v>
      </c>
      <c r="J498">
        <v>12</v>
      </c>
      <c r="K498">
        <v>75162</v>
      </c>
      <c r="L498">
        <v>2022</v>
      </c>
    </row>
    <row r="499" spans="1:12" x14ac:dyDescent="0.35">
      <c r="A499">
        <v>498</v>
      </c>
      <c r="B499" s="1">
        <v>45585</v>
      </c>
      <c r="C499" t="s">
        <v>16</v>
      </c>
      <c r="D499" t="s">
        <v>19</v>
      </c>
      <c r="E499">
        <v>4.55</v>
      </c>
      <c r="F499">
        <v>2.46</v>
      </c>
      <c r="G499">
        <v>493051</v>
      </c>
      <c r="H499" t="s">
        <v>14</v>
      </c>
      <c r="I499" t="s">
        <v>15</v>
      </c>
      <c r="J499">
        <v>22</v>
      </c>
      <c r="K499">
        <v>212709</v>
      </c>
      <c r="L499">
        <v>2024</v>
      </c>
    </row>
    <row r="500" spans="1:12" x14ac:dyDescent="0.35">
      <c r="A500">
        <v>499</v>
      </c>
      <c r="B500" s="1">
        <v>44041</v>
      </c>
      <c r="C500" t="s">
        <v>30</v>
      </c>
      <c r="D500" t="s">
        <v>25</v>
      </c>
      <c r="E500">
        <v>2.95</v>
      </c>
      <c r="F500">
        <v>0.31</v>
      </c>
      <c r="G500">
        <v>493756</v>
      </c>
      <c r="H500" t="s">
        <v>21</v>
      </c>
      <c r="I500" t="s">
        <v>18</v>
      </c>
      <c r="J500">
        <v>33</v>
      </c>
      <c r="K500">
        <v>64671</v>
      </c>
      <c r="L500">
        <v>2020</v>
      </c>
    </row>
    <row r="501" spans="1:12" x14ac:dyDescent="0.35">
      <c r="A501">
        <v>500</v>
      </c>
      <c r="B501" s="1">
        <v>44052</v>
      </c>
      <c r="C501" t="s">
        <v>16</v>
      </c>
      <c r="D501" t="s">
        <v>19</v>
      </c>
      <c r="E501">
        <v>0.68</v>
      </c>
      <c r="F501">
        <v>2.21</v>
      </c>
      <c r="G501">
        <v>444176</v>
      </c>
      <c r="H501" t="s">
        <v>26</v>
      </c>
      <c r="I501" t="s">
        <v>15</v>
      </c>
      <c r="J501">
        <v>20</v>
      </c>
      <c r="K501">
        <v>37949</v>
      </c>
      <c r="L501">
        <v>2020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A554-3E84-4011-B018-33CE0A52214F}">
  <dimension ref="A1:J50"/>
  <sheetViews>
    <sheetView topLeftCell="A4" zoomScale="55" zoomScaleNormal="55" workbookViewId="0">
      <selection activeCell="L41" sqref="L41"/>
    </sheetView>
  </sheetViews>
  <sheetFormatPr defaultRowHeight="14.5" x14ac:dyDescent="0.35"/>
  <cols>
    <col min="1" max="1" width="24.90625" bestFit="1" customWidth="1"/>
    <col min="2" max="2" width="17.6328125" bestFit="1" customWidth="1"/>
    <col min="3" max="3" width="9.54296875" bestFit="1" customWidth="1"/>
    <col min="4" max="4" width="11.26953125" bestFit="1" customWidth="1"/>
    <col min="5" max="5" width="15" bestFit="1" customWidth="1"/>
    <col min="6" max="6" width="14.26953125" bestFit="1" customWidth="1"/>
    <col min="7" max="7" width="10.36328125" bestFit="1" customWidth="1"/>
    <col min="8" max="9" width="5.08984375" bestFit="1" customWidth="1"/>
    <col min="10" max="10" width="10.36328125" bestFit="1" customWidth="1"/>
  </cols>
  <sheetData>
    <row r="1" spans="1:10" x14ac:dyDescent="0.35">
      <c r="A1" s="10" t="s">
        <v>35</v>
      </c>
      <c r="B1" s="9"/>
      <c r="D1" s="10" t="s">
        <v>38</v>
      </c>
      <c r="E1" s="9"/>
      <c r="F1" s="9"/>
      <c r="G1" s="9"/>
      <c r="H1" s="9"/>
      <c r="I1" s="9"/>
      <c r="J1" s="9"/>
    </row>
    <row r="3" spans="1:10" x14ac:dyDescent="0.35">
      <c r="A3" s="5" t="s">
        <v>32</v>
      </c>
      <c r="B3" t="s">
        <v>34</v>
      </c>
      <c r="D3" s="5" t="s">
        <v>37</v>
      </c>
      <c r="E3" s="5" t="s">
        <v>36</v>
      </c>
    </row>
    <row r="4" spans="1:10" x14ac:dyDescent="0.35">
      <c r="A4" s="6" t="s">
        <v>20</v>
      </c>
      <c r="B4" s="8">
        <v>0.15868809011098228</v>
      </c>
      <c r="D4" s="5" t="s">
        <v>32</v>
      </c>
      <c r="E4">
        <v>2020</v>
      </c>
      <c r="F4">
        <v>2021</v>
      </c>
      <c r="G4">
        <v>2022</v>
      </c>
      <c r="H4">
        <v>2023</v>
      </c>
      <c r="I4">
        <v>2024</v>
      </c>
      <c r="J4" t="s">
        <v>33</v>
      </c>
    </row>
    <row r="5" spans="1:10" x14ac:dyDescent="0.35">
      <c r="A5" s="6" t="s">
        <v>12</v>
      </c>
      <c r="B5" s="8">
        <v>0.1298658273977141</v>
      </c>
      <c r="D5" s="6" t="s">
        <v>26</v>
      </c>
      <c r="E5" s="7">
        <v>22</v>
      </c>
      <c r="F5" s="7">
        <v>28</v>
      </c>
      <c r="G5" s="7">
        <v>13</v>
      </c>
      <c r="H5" s="7">
        <v>30</v>
      </c>
      <c r="I5" s="7">
        <v>16</v>
      </c>
      <c r="J5" s="7">
        <v>109</v>
      </c>
    </row>
    <row r="6" spans="1:10" x14ac:dyDescent="0.35">
      <c r="A6" s="6" t="s">
        <v>24</v>
      </c>
      <c r="B6" s="8">
        <v>0.15015736292860693</v>
      </c>
      <c r="D6" s="6" t="s">
        <v>22</v>
      </c>
      <c r="E6" s="7">
        <v>15</v>
      </c>
      <c r="F6" s="7">
        <v>21</v>
      </c>
      <c r="G6" s="7">
        <v>16</v>
      </c>
      <c r="H6" s="7">
        <v>18</v>
      </c>
      <c r="I6" s="7">
        <v>21</v>
      </c>
      <c r="J6" s="7">
        <v>91</v>
      </c>
    </row>
    <row r="7" spans="1:10" x14ac:dyDescent="0.35">
      <c r="A7" s="6" t="s">
        <v>16</v>
      </c>
      <c r="B7" s="8">
        <v>0.17020043067748883</v>
      </c>
      <c r="D7" s="6" t="s">
        <v>17</v>
      </c>
      <c r="E7" s="7">
        <v>18</v>
      </c>
      <c r="F7" s="7">
        <v>20</v>
      </c>
      <c r="G7" s="7">
        <v>23</v>
      </c>
      <c r="H7" s="7">
        <v>21</v>
      </c>
      <c r="I7" s="7">
        <v>14</v>
      </c>
      <c r="J7" s="7">
        <v>96</v>
      </c>
    </row>
    <row r="8" spans="1:10" x14ac:dyDescent="0.35">
      <c r="A8" s="6" t="s">
        <v>28</v>
      </c>
      <c r="B8" s="8">
        <v>0.1126387278449561</v>
      </c>
      <c r="D8" s="6" t="s">
        <v>21</v>
      </c>
      <c r="E8" s="7">
        <v>21</v>
      </c>
      <c r="F8" s="7">
        <v>14</v>
      </c>
      <c r="G8" s="7">
        <v>19</v>
      </c>
      <c r="H8" s="7">
        <v>14</v>
      </c>
      <c r="I8" s="7">
        <v>15</v>
      </c>
      <c r="J8" s="7">
        <v>83</v>
      </c>
    </row>
    <row r="9" spans="1:10" x14ac:dyDescent="0.35">
      <c r="A9" s="6" t="s">
        <v>27</v>
      </c>
      <c r="B9" s="8">
        <v>0.15438131522279278</v>
      </c>
      <c r="D9" s="6" t="s">
        <v>14</v>
      </c>
      <c r="E9" s="7">
        <v>19</v>
      </c>
      <c r="F9" s="7">
        <v>23</v>
      </c>
      <c r="G9" s="7">
        <v>14</v>
      </c>
      <c r="H9" s="7">
        <v>23</v>
      </c>
      <c r="I9" s="7">
        <v>42</v>
      </c>
      <c r="J9" s="7">
        <v>121</v>
      </c>
    </row>
    <row r="10" spans="1:10" x14ac:dyDescent="0.35">
      <c r="A10" s="6" t="s">
        <v>30</v>
      </c>
      <c r="B10" s="8">
        <v>0.124068245817459</v>
      </c>
      <c r="D10" s="6" t="s">
        <v>33</v>
      </c>
      <c r="E10" s="7">
        <v>95</v>
      </c>
      <c r="F10" s="7">
        <v>106</v>
      </c>
      <c r="G10" s="7">
        <v>85</v>
      </c>
      <c r="H10" s="7">
        <v>106</v>
      </c>
      <c r="I10" s="7">
        <v>108</v>
      </c>
      <c r="J10" s="7">
        <v>500</v>
      </c>
    </row>
    <row r="11" spans="1:10" x14ac:dyDescent="0.35">
      <c r="A11" s="6" t="s">
        <v>33</v>
      </c>
      <c r="B11" s="8">
        <v>1</v>
      </c>
    </row>
    <row r="13" spans="1:10" x14ac:dyDescent="0.35">
      <c r="A13" s="10" t="s">
        <v>40</v>
      </c>
      <c r="B13" s="9"/>
      <c r="C13" s="9"/>
      <c r="D13" s="9"/>
      <c r="E13" s="9"/>
      <c r="F13" s="9"/>
      <c r="G13" s="9"/>
    </row>
    <row r="15" spans="1:10" x14ac:dyDescent="0.35">
      <c r="A15" s="5" t="s">
        <v>39</v>
      </c>
      <c r="B15" s="5" t="s">
        <v>36</v>
      </c>
    </row>
    <row r="16" spans="1:10" x14ac:dyDescent="0.35">
      <c r="A16" s="5" t="s">
        <v>32</v>
      </c>
      <c r="B16">
        <v>2020</v>
      </c>
      <c r="C16">
        <v>2021</v>
      </c>
      <c r="D16">
        <v>2022</v>
      </c>
      <c r="E16">
        <v>2023</v>
      </c>
      <c r="F16">
        <v>2024</v>
      </c>
      <c r="G16" t="s">
        <v>33</v>
      </c>
    </row>
    <row r="17" spans="1:7" x14ac:dyDescent="0.35">
      <c r="A17" s="6" t="s">
        <v>20</v>
      </c>
      <c r="B17" s="7">
        <v>1887801</v>
      </c>
      <c r="C17" s="7">
        <v>2421371</v>
      </c>
      <c r="D17" s="7">
        <v>1679583</v>
      </c>
      <c r="E17" s="7">
        <v>2070107</v>
      </c>
      <c r="F17" s="7">
        <v>3009208</v>
      </c>
      <c r="G17" s="7">
        <v>11068070</v>
      </c>
    </row>
    <row r="18" spans="1:7" x14ac:dyDescent="0.35">
      <c r="A18" s="6" t="s">
        <v>12</v>
      </c>
      <c r="B18" s="7">
        <v>2631746</v>
      </c>
      <c r="C18" s="7">
        <v>2243841</v>
      </c>
      <c r="D18" s="7">
        <v>1891781</v>
      </c>
      <c r="E18" s="7">
        <v>3173505</v>
      </c>
      <c r="F18" s="7">
        <v>2042499</v>
      </c>
      <c r="G18" s="7">
        <v>11983372</v>
      </c>
    </row>
    <row r="19" spans="1:7" x14ac:dyDescent="0.35">
      <c r="A19" s="6" t="s">
        <v>24</v>
      </c>
      <c r="B19" s="7">
        <v>1962313</v>
      </c>
      <c r="C19" s="7">
        <v>3336268</v>
      </c>
      <c r="D19" s="7">
        <v>2368193</v>
      </c>
      <c r="E19" s="7">
        <v>1501230</v>
      </c>
      <c r="F19" s="7">
        <v>3005188</v>
      </c>
      <c r="G19" s="7">
        <v>12173192</v>
      </c>
    </row>
    <row r="20" spans="1:7" x14ac:dyDescent="0.35">
      <c r="A20" s="6" t="s">
        <v>16</v>
      </c>
      <c r="B20" s="7">
        <v>1612332</v>
      </c>
      <c r="C20" s="7">
        <v>2152035</v>
      </c>
      <c r="D20" s="7">
        <v>2195170</v>
      </c>
      <c r="E20" s="7">
        <v>4192200</v>
      </c>
      <c r="F20" s="7">
        <v>3332796</v>
      </c>
      <c r="G20" s="7">
        <v>13484533</v>
      </c>
    </row>
    <row r="21" spans="1:7" x14ac:dyDescent="0.35">
      <c r="A21" s="6" t="s">
        <v>28</v>
      </c>
      <c r="B21" s="7">
        <v>1968542</v>
      </c>
      <c r="C21" s="7">
        <v>1849062</v>
      </c>
      <c r="D21" s="7">
        <v>1158695</v>
      </c>
      <c r="E21" s="7">
        <v>1518301</v>
      </c>
      <c r="F21" s="7">
        <v>2167259</v>
      </c>
      <c r="G21" s="7">
        <v>8661859</v>
      </c>
    </row>
    <row r="22" spans="1:7" x14ac:dyDescent="0.35">
      <c r="A22" s="6" t="s">
        <v>27</v>
      </c>
      <c r="B22" s="7">
        <v>2121842</v>
      </c>
      <c r="C22" s="7">
        <v>2461222</v>
      </c>
      <c r="D22" s="7">
        <v>2115063</v>
      </c>
      <c r="E22" s="7">
        <v>2921085</v>
      </c>
      <c r="F22" s="7">
        <v>2164207</v>
      </c>
      <c r="G22" s="7">
        <v>11783419</v>
      </c>
    </row>
    <row r="23" spans="1:7" x14ac:dyDescent="0.35">
      <c r="A23" s="6" t="s">
        <v>30</v>
      </c>
      <c r="B23" s="7">
        <v>2760575</v>
      </c>
      <c r="C23" s="7">
        <v>971434</v>
      </c>
      <c r="D23" s="7">
        <v>1307752</v>
      </c>
      <c r="E23" s="7">
        <v>1648608</v>
      </c>
      <c r="F23" s="7">
        <v>880822</v>
      </c>
      <c r="G23" s="7">
        <v>7569191</v>
      </c>
    </row>
    <row r="24" spans="1:7" x14ac:dyDescent="0.35">
      <c r="A24" s="6" t="s">
        <v>33</v>
      </c>
      <c r="B24" s="7">
        <v>14945151</v>
      </c>
      <c r="C24" s="7">
        <v>15435233</v>
      </c>
      <c r="D24" s="7">
        <v>12716237</v>
      </c>
      <c r="E24" s="7">
        <v>17025036</v>
      </c>
      <c r="F24" s="7">
        <v>16601979</v>
      </c>
      <c r="G24" s="7">
        <v>76723636</v>
      </c>
    </row>
    <row r="26" spans="1:7" x14ac:dyDescent="0.35">
      <c r="A26" s="10" t="s">
        <v>42</v>
      </c>
      <c r="B26" s="10"/>
      <c r="C26" s="10"/>
      <c r="D26" s="10"/>
      <c r="E26" s="10"/>
      <c r="F26" s="10"/>
      <c r="G26" s="10"/>
    </row>
    <row r="28" spans="1:7" x14ac:dyDescent="0.35">
      <c r="A28" s="5" t="s">
        <v>41</v>
      </c>
      <c r="B28" s="5" t="s">
        <v>36</v>
      </c>
    </row>
    <row r="29" spans="1:7" x14ac:dyDescent="0.35">
      <c r="A29" s="5" t="s">
        <v>32</v>
      </c>
      <c r="B29" t="s">
        <v>25</v>
      </c>
      <c r="C29" t="s">
        <v>29</v>
      </c>
      <c r="D29" t="s">
        <v>13</v>
      </c>
      <c r="E29" t="s">
        <v>23</v>
      </c>
      <c r="F29" t="s">
        <v>19</v>
      </c>
      <c r="G29" t="s">
        <v>33</v>
      </c>
    </row>
    <row r="30" spans="1:7" x14ac:dyDescent="0.35">
      <c r="A30" s="6" t="s">
        <v>20</v>
      </c>
      <c r="B30" s="7">
        <v>58.22</v>
      </c>
      <c r="C30" s="7">
        <v>66.34</v>
      </c>
      <c r="D30" s="7">
        <v>107.29</v>
      </c>
      <c r="E30" s="7">
        <v>68.239999999999995</v>
      </c>
      <c r="F30" s="7">
        <v>44</v>
      </c>
      <c r="G30" s="7">
        <v>344.09</v>
      </c>
    </row>
    <row r="31" spans="1:7" x14ac:dyDescent="0.35">
      <c r="A31" s="6" t="s">
        <v>12</v>
      </c>
      <c r="B31" s="7">
        <v>77.680000000000007</v>
      </c>
      <c r="C31" s="7">
        <v>72.510000000000005</v>
      </c>
      <c r="D31" s="7">
        <v>59.89</v>
      </c>
      <c r="E31" s="7">
        <v>78.319999999999993</v>
      </c>
      <c r="F31" s="7">
        <v>87.95</v>
      </c>
      <c r="G31" s="7">
        <v>376.35</v>
      </c>
    </row>
    <row r="32" spans="1:7" x14ac:dyDescent="0.35">
      <c r="A32" s="6" t="s">
        <v>24</v>
      </c>
      <c r="B32" s="7">
        <v>114.84</v>
      </c>
      <c r="C32" s="7">
        <v>42.59</v>
      </c>
      <c r="D32" s="7">
        <v>77.61</v>
      </c>
      <c r="E32" s="7">
        <v>86.37</v>
      </c>
      <c r="F32" s="7">
        <v>73.430000000000007</v>
      </c>
      <c r="G32" s="7">
        <v>394.84</v>
      </c>
    </row>
    <row r="33" spans="1:7" x14ac:dyDescent="0.35">
      <c r="A33" s="6" t="s">
        <v>16</v>
      </c>
      <c r="B33" s="7">
        <v>65.13</v>
      </c>
      <c r="C33" s="7">
        <v>112.6</v>
      </c>
      <c r="D33" s="7">
        <v>146.54</v>
      </c>
      <c r="E33" s="7">
        <v>73.819999999999993</v>
      </c>
      <c r="F33" s="7">
        <v>45.18</v>
      </c>
      <c r="G33" s="7">
        <v>443.27</v>
      </c>
    </row>
    <row r="34" spans="1:7" x14ac:dyDescent="0.35">
      <c r="A34" s="6" t="s">
        <v>28</v>
      </c>
      <c r="B34" s="7">
        <v>64.23</v>
      </c>
      <c r="C34" s="7">
        <v>50.58</v>
      </c>
      <c r="D34" s="7">
        <v>34.93</v>
      </c>
      <c r="E34" s="7">
        <v>79.5</v>
      </c>
      <c r="F34" s="7">
        <v>48.69</v>
      </c>
      <c r="G34" s="7">
        <v>277.93</v>
      </c>
    </row>
    <row r="35" spans="1:7" x14ac:dyDescent="0.35">
      <c r="A35" s="6" t="s">
        <v>27</v>
      </c>
      <c r="B35" s="7">
        <v>74.010000000000005</v>
      </c>
      <c r="C35" s="7">
        <v>103.72</v>
      </c>
      <c r="D35" s="7">
        <v>81.260000000000005</v>
      </c>
      <c r="E35" s="7">
        <v>75.97</v>
      </c>
      <c r="F35" s="7">
        <v>67.05</v>
      </c>
      <c r="G35" s="7">
        <v>402.01</v>
      </c>
    </row>
    <row r="36" spans="1:7" x14ac:dyDescent="0.35">
      <c r="A36" s="6" t="s">
        <v>30</v>
      </c>
      <c r="B36" s="7">
        <v>31.67</v>
      </c>
      <c r="C36" s="7">
        <v>67.650000000000006</v>
      </c>
      <c r="D36" s="7">
        <v>38.24</v>
      </c>
      <c r="E36" s="7">
        <v>77.84</v>
      </c>
      <c r="F36" s="7">
        <v>94.36</v>
      </c>
      <c r="G36" s="7">
        <v>309.76</v>
      </c>
    </row>
    <row r="37" spans="1:7" x14ac:dyDescent="0.35">
      <c r="A37" s="6" t="s">
        <v>33</v>
      </c>
      <c r="B37" s="7">
        <v>485.78</v>
      </c>
      <c r="C37" s="7">
        <v>515.99</v>
      </c>
      <c r="D37" s="7">
        <v>545.76</v>
      </c>
      <c r="E37" s="7">
        <v>540.05999999999995</v>
      </c>
      <c r="F37" s="7">
        <v>460.66</v>
      </c>
      <c r="G37" s="7">
        <v>2548.25</v>
      </c>
    </row>
    <row r="39" spans="1:7" x14ac:dyDescent="0.35">
      <c r="A39" s="10" t="s">
        <v>44</v>
      </c>
      <c r="B39" s="10"/>
      <c r="C39" s="10"/>
      <c r="D39" s="10"/>
      <c r="E39" s="10"/>
      <c r="F39" s="10"/>
      <c r="G39" s="10"/>
    </row>
    <row r="41" spans="1:7" x14ac:dyDescent="0.35">
      <c r="A41" s="5" t="s">
        <v>43</v>
      </c>
      <c r="B41" s="5" t="s">
        <v>36</v>
      </c>
    </row>
    <row r="42" spans="1:7" x14ac:dyDescent="0.35">
      <c r="A42" s="5" t="s">
        <v>32</v>
      </c>
      <c r="B42" t="s">
        <v>25</v>
      </c>
      <c r="C42" t="s">
        <v>29</v>
      </c>
      <c r="D42" t="s">
        <v>13</v>
      </c>
      <c r="E42" t="s">
        <v>23</v>
      </c>
      <c r="F42" t="s">
        <v>19</v>
      </c>
      <c r="G42" t="s">
        <v>33</v>
      </c>
    </row>
    <row r="43" spans="1:7" x14ac:dyDescent="0.35">
      <c r="A43" s="6" t="s">
        <v>20</v>
      </c>
      <c r="B43" s="7">
        <v>6893310</v>
      </c>
      <c r="C43" s="7">
        <v>8272982</v>
      </c>
      <c r="D43" s="7">
        <v>12819859</v>
      </c>
      <c r="E43" s="7">
        <v>6273596</v>
      </c>
      <c r="F43" s="7">
        <v>6456349</v>
      </c>
      <c r="G43" s="7">
        <v>40716096</v>
      </c>
    </row>
    <row r="44" spans="1:7" x14ac:dyDescent="0.35">
      <c r="A44" s="6" t="s">
        <v>12</v>
      </c>
      <c r="B44" s="7">
        <v>8323345</v>
      </c>
      <c r="C44" s="7">
        <v>7043869</v>
      </c>
      <c r="D44" s="7">
        <v>7338793</v>
      </c>
      <c r="E44" s="7">
        <v>8052945</v>
      </c>
      <c r="F44" s="7">
        <v>9414193</v>
      </c>
      <c r="G44" s="7">
        <v>40173145</v>
      </c>
    </row>
    <row r="45" spans="1:7" x14ac:dyDescent="0.35">
      <c r="A45" s="6" t="s">
        <v>24</v>
      </c>
      <c r="B45" s="7">
        <v>10189208</v>
      </c>
      <c r="C45" s="7">
        <v>5782270</v>
      </c>
      <c r="D45" s="7">
        <v>9130123</v>
      </c>
      <c r="E45" s="7">
        <v>8935105</v>
      </c>
      <c r="F45" s="7">
        <v>8959200</v>
      </c>
      <c r="G45" s="7">
        <v>42995906</v>
      </c>
    </row>
    <row r="46" spans="1:7" x14ac:dyDescent="0.35">
      <c r="A46" s="6" t="s">
        <v>16</v>
      </c>
      <c r="B46" s="7">
        <v>5305181</v>
      </c>
      <c r="C46" s="7">
        <v>11793651</v>
      </c>
      <c r="D46" s="7">
        <v>13956615</v>
      </c>
      <c r="E46" s="7">
        <v>6391732</v>
      </c>
      <c r="F46" s="7">
        <v>5072532</v>
      </c>
      <c r="G46" s="7">
        <v>42519711</v>
      </c>
    </row>
    <row r="47" spans="1:7" x14ac:dyDescent="0.35">
      <c r="A47" s="6" t="s">
        <v>28</v>
      </c>
      <c r="B47" s="7">
        <v>5638249</v>
      </c>
      <c r="C47" s="7">
        <v>4416710</v>
      </c>
      <c r="D47" s="7">
        <v>2773144</v>
      </c>
      <c r="E47" s="7">
        <v>10703331</v>
      </c>
      <c r="F47" s="7">
        <v>5641573</v>
      </c>
      <c r="G47" s="7">
        <v>29173007</v>
      </c>
    </row>
    <row r="48" spans="1:7" x14ac:dyDescent="0.35">
      <c r="A48" s="6" t="s">
        <v>27</v>
      </c>
      <c r="B48" s="7">
        <v>7503139</v>
      </c>
      <c r="C48" s="7">
        <v>10413819</v>
      </c>
      <c r="D48" s="7">
        <v>9653246</v>
      </c>
      <c r="E48" s="7">
        <v>6572756</v>
      </c>
      <c r="F48" s="7">
        <v>5427205</v>
      </c>
      <c r="G48" s="7">
        <v>39570165</v>
      </c>
    </row>
    <row r="49" spans="1:7" x14ac:dyDescent="0.35">
      <c r="A49" s="6" t="s">
        <v>30</v>
      </c>
      <c r="B49" s="7">
        <v>3064638</v>
      </c>
      <c r="C49" s="7">
        <v>8332945</v>
      </c>
      <c r="D49" s="7">
        <v>3101169</v>
      </c>
      <c r="E49" s="7">
        <v>6943001</v>
      </c>
      <c r="F49" s="7">
        <v>6499497</v>
      </c>
      <c r="G49" s="7">
        <v>27941250</v>
      </c>
    </row>
    <row r="50" spans="1:7" x14ac:dyDescent="0.35">
      <c r="A50" s="6" t="s">
        <v>33</v>
      </c>
      <c r="B50" s="7">
        <v>46917070</v>
      </c>
      <c r="C50" s="7">
        <v>56056246</v>
      </c>
      <c r="D50" s="7">
        <v>58772949</v>
      </c>
      <c r="E50" s="7">
        <v>53872466</v>
      </c>
      <c r="F50" s="7">
        <v>47470549</v>
      </c>
      <c r="G50" s="7">
        <v>263089280</v>
      </c>
    </row>
  </sheetData>
  <mergeCells count="5">
    <mergeCell ref="A1:B1"/>
    <mergeCell ref="D1:J1"/>
    <mergeCell ref="A13:G13"/>
    <mergeCell ref="A26:G26"/>
    <mergeCell ref="A39:G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8FD4-35D1-4084-8463-33300605932C}">
  <dimension ref="B1:V38"/>
  <sheetViews>
    <sheetView tabSelected="1" zoomScale="55" zoomScaleNormal="55" workbookViewId="0">
      <selection activeCell="I40" sqref="I40"/>
    </sheetView>
  </sheetViews>
  <sheetFormatPr defaultRowHeight="14.5" x14ac:dyDescent="0.35"/>
  <cols>
    <col min="1" max="16384" width="8.7265625" style="2"/>
  </cols>
  <sheetData>
    <row r="1" spans="2:22" x14ac:dyDescent="0.35">
      <c r="B1" s="4" t="s">
        <v>31</v>
      </c>
      <c r="C1" s="3"/>
      <c r="D1" s="3"/>
      <c r="E1" s="3"/>
      <c r="F1" s="3"/>
      <c r="G1" s="3"/>
      <c r="H1" s="3"/>
      <c r="I1" s="3"/>
      <c r="J1" s="3"/>
      <c r="K1" s="3"/>
      <c r="L1" s="3"/>
      <c r="M1" s="3"/>
      <c r="N1" s="3"/>
      <c r="O1" s="3"/>
      <c r="P1" s="3"/>
      <c r="Q1" s="3"/>
      <c r="R1" s="3"/>
      <c r="S1" s="3"/>
      <c r="T1" s="3"/>
      <c r="U1" s="3"/>
      <c r="V1" s="3"/>
    </row>
    <row r="4" spans="2:22" x14ac:dyDescent="0.35">
      <c r="B4" s="4" t="s">
        <v>42</v>
      </c>
      <c r="C4" s="3"/>
      <c r="D4" s="3"/>
      <c r="E4" s="3"/>
      <c r="F4" s="3"/>
      <c r="G4" s="3"/>
      <c r="H4" s="3"/>
      <c r="P4" s="4" t="s">
        <v>40</v>
      </c>
      <c r="Q4" s="3"/>
      <c r="R4" s="3"/>
      <c r="S4" s="3"/>
      <c r="T4" s="3"/>
      <c r="U4" s="3"/>
      <c r="V4" s="3"/>
    </row>
    <row r="8" spans="2:22" x14ac:dyDescent="0.35">
      <c r="J8" s="4" t="s">
        <v>35</v>
      </c>
      <c r="K8" s="3"/>
      <c r="L8" s="3"/>
      <c r="M8" s="3"/>
      <c r="N8" s="3"/>
    </row>
    <row r="17" spans="3:22" x14ac:dyDescent="0.35">
      <c r="C17" s="4" t="s">
        <v>38</v>
      </c>
      <c r="D17" s="3"/>
      <c r="E17" s="3"/>
      <c r="F17" s="3"/>
      <c r="G17" s="3"/>
      <c r="P17" s="4" t="s">
        <v>44</v>
      </c>
      <c r="Q17" s="3"/>
      <c r="R17" s="3"/>
      <c r="S17" s="3"/>
      <c r="T17" s="3"/>
      <c r="U17" s="3"/>
      <c r="V17" s="3"/>
    </row>
    <row r="38" ht="12.5" customHeight="1" x14ac:dyDescent="0.35"/>
  </sheetData>
  <mergeCells count="6">
    <mergeCell ref="B1:V1"/>
    <mergeCell ref="J8:N8"/>
    <mergeCell ref="C17:G17"/>
    <mergeCell ref="P4:V4"/>
    <mergeCell ref="B4:H4"/>
    <mergeCell ref="P17:V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FarmLosses</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Medina, Carl Eris</cp:lastModifiedBy>
  <dcterms:created xsi:type="dcterms:W3CDTF">2025-12-11T07:19:18Z</dcterms:created>
  <dcterms:modified xsi:type="dcterms:W3CDTF">2025-12-11T08:54:52Z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813f4b-519a-4481-a498-85770f517757_Enabled">
    <vt:lpwstr>true</vt:lpwstr>
  </property>
  <property fmtid="{D5CDD505-2E9C-101B-9397-08002B2CF9AE}" pid="3" name="MSIP_Label_8a813f4b-519a-4481-a498-85770f517757_SetDate">
    <vt:lpwstr>2025-12-11T07:39:14Z</vt:lpwstr>
  </property>
  <property fmtid="{D5CDD505-2E9C-101B-9397-08002B2CF9AE}" pid="4" name="MSIP_Label_8a813f4b-519a-4481-a498-85770f517757_Method">
    <vt:lpwstr>Standard</vt:lpwstr>
  </property>
  <property fmtid="{D5CDD505-2E9C-101B-9397-08002B2CF9AE}" pid="5" name="MSIP_Label_8a813f4b-519a-4481-a498-85770f517757_Name">
    <vt:lpwstr>Anyone (unrestricted)</vt:lpwstr>
  </property>
  <property fmtid="{D5CDD505-2E9C-101B-9397-08002B2CF9AE}" pid="6" name="MSIP_Label_8a813f4b-519a-4481-a498-85770f517757_SiteId">
    <vt:lpwstr>1d981f77-3ca3-46ae-b0d4-e8044e6c7f84</vt:lpwstr>
  </property>
  <property fmtid="{D5CDD505-2E9C-101B-9397-08002B2CF9AE}" pid="7" name="MSIP_Label_8a813f4b-519a-4481-a498-85770f517757_ActionId">
    <vt:lpwstr>29fe4f5f-0867-4d16-a0ef-983a4550653d</vt:lpwstr>
  </property>
  <property fmtid="{D5CDD505-2E9C-101B-9397-08002B2CF9AE}" pid="8" name="MSIP_Label_8a813f4b-519a-4481-a498-85770f517757_ContentBits">
    <vt:lpwstr>0</vt:lpwstr>
  </property>
  <property fmtid="{D5CDD505-2E9C-101B-9397-08002B2CF9AE}" pid="9" name="MSIP_Label_8a813f4b-519a-4481-a498-85770f517757_Tag">
    <vt:lpwstr>10, 3, 0, 1</vt:lpwstr>
  </property>
</Properties>
</file>